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dminliveunc-my.sharepoint.com/personal/morrak_ad_unc_edu/Documents/HSL materials/Internal projects &amp; tools/Search builder/"/>
    </mc:Choice>
  </mc:AlternateContent>
  <xr:revisionPtr revIDLastSave="1454" documentId="13_ncr:1_{EF9EF634-AC9C-44E7-9E0F-1DB2DCFE07EF}" xr6:coauthVersionLast="47" xr6:coauthVersionMax="47" xr10:uidLastSave="{0C330A56-8D6F-4C2D-820D-48FB092E2C86}"/>
  <bookViews>
    <workbookView xWindow="-120" yWindow="-120" windowWidth="29040" windowHeight="15720" tabRatio="766" activeTab="1" xr2:uid="{6AC0C662-5A15-4914-BF84-DC1142397702}"/>
  </bookViews>
  <sheets>
    <sheet name="Changelog" sheetId="9" r:id="rId1"/>
    <sheet name="User Guide" sheetId="10" r:id="rId2"/>
    <sheet name="Keywords" sheetId="1" r:id="rId3"/>
    <sheet name="Controlled Vocabulary" sheetId="2" r:id="rId4"/>
    <sheet name="Filters" sheetId="3" r:id="rId5"/>
    <sheet name="Searches (&quot;Yes&quot; terms only)" sheetId="12" r:id="rId6"/>
    <sheet name="Searches (with &quot;Maybe&quot; terms)" sheetId="14" r:id="rId7"/>
    <sheet name="Backend - Syntax Table" sheetId="5" state="hidden" r:id="rId8"/>
    <sheet name="Backend - List Sources" sheetId="4"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2" l="1" a="1"/>
  <c r="F2" i="12" s="1"/>
  <c r="B2" i="14" a="1"/>
  <c r="B2" i="14" s="1"/>
  <c r="E2" i="14" a="1"/>
  <c r="E2" i="14" s="1"/>
  <c r="D2" i="14" a="1"/>
  <c r="D2" i="14" s="1"/>
  <c r="C2" i="14" a="1"/>
  <c r="C2" i="14" s="1"/>
  <c r="F2" i="14" a="1"/>
  <c r="F2" i="14" s="1"/>
  <c r="B2" i="12" a="1"/>
  <c r="B2" i="12" s="1"/>
  <c r="C2" i="12" a="1"/>
  <c r="C2" i="12" s="1"/>
  <c r="D2" i="12" a="1"/>
  <c r="D2" i="12" s="1"/>
  <c r="E2" i="12" a="1"/>
  <c r="E2" i="12" s="1"/>
  <c r="F2" i="1"/>
  <c r="F2" i="2" a="1"/>
  <c r="F2" i="2" s="1"/>
  <c r="G2" i="12" l="1"/>
  <c r="G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<sst xmlns="http://schemas.openxmlformats.org/spreadsheetml/2006/main" count="340" uniqueCount="205">
  <si>
    <t>Version</t>
  </si>
  <si>
    <t>Date</t>
  </si>
  <si>
    <t>Changes</t>
  </si>
  <si>
    <t>Concept</t>
  </si>
  <si>
    <t>Term</t>
  </si>
  <si>
    <t>Quotes?</t>
  </si>
  <si>
    <t>Field(s)</t>
  </si>
  <si>
    <t>Use Term?</t>
  </si>
  <si>
    <t>Notes</t>
  </si>
  <si>
    <t>Title &amp; Abstract</t>
  </si>
  <si>
    <t>Yes</t>
  </si>
  <si>
    <t>Maybe</t>
  </si>
  <si>
    <t>No</t>
  </si>
  <si>
    <t>Database</t>
  </si>
  <si>
    <t>Preview</t>
  </si>
  <si>
    <t>PubMed (NLM)</t>
  </si>
  <si>
    <t>Embase (Elsevier)</t>
  </si>
  <si>
    <t>CENTRAL (Cochrane)</t>
  </si>
  <si>
    <t>Scopus (Elsevier)</t>
  </si>
  <si>
    <t>IEEE Xplore</t>
  </si>
  <si>
    <t>Combined</t>
  </si>
  <si>
    <t>Quote Style</t>
  </si>
  <si>
    <t>Title</t>
  </si>
  <si>
    <t>Abstract</t>
  </si>
  <si>
    <t>Title, Abstract, &amp; Keyword</t>
  </si>
  <si>
    <t>Journal</t>
  </si>
  <si>
    <t>Controlled Vocabulary (Explosion)</t>
  </si>
  <si>
    <t>Controlled Vocabulary (No Explosion)</t>
  </si>
  <si>
    <t>"</t>
  </si>
  <si>
    <t>?[TI]</t>
  </si>
  <si>
    <t>?[AB]</t>
  </si>
  <si>
    <t>?[TIAB]</t>
  </si>
  <si>
    <t>?[TW]</t>
  </si>
  <si>
    <t>?[TA]</t>
  </si>
  <si>
    <t>'</t>
  </si>
  <si>
    <t>?:ti</t>
  </si>
  <si>
    <t>?:ab</t>
  </si>
  <si>
    <t>?:ti,ab</t>
  </si>
  <si>
    <t>?:jt</t>
  </si>
  <si>
    <t>TI ?</t>
  </si>
  <si>
    <t>AB ?</t>
  </si>
  <si>
    <t>(TI ? OR AB ?)</t>
  </si>
  <si>
    <t>TX ?</t>
  </si>
  <si>
    <t>JN ?</t>
  </si>
  <si>
    <t>TITLE(?)</t>
  </si>
  <si>
    <t>ABS(?)</t>
  </si>
  <si>
    <t>TITLE-ABS(?)</t>
  </si>
  <si>
    <t>EXACTSRCTITLE(?)</t>
  </si>
  <si>
    <t>"Document Title":?</t>
  </si>
  <si>
    <t>"Abstract":</t>
  </si>
  <si>
    <t>("Document Title":? OR "Abstract:?)</t>
  </si>
  <si>
    <t>"Full Text &amp; Metadata":?</t>
  </si>
  <si>
    <t>"Publication Title":?</t>
  </si>
  <si>
    <t>ABSTRACT(?)</t>
  </si>
  <si>
    <t>(TITLE(?) OR ABSTRACT(?))</t>
  </si>
  <si>
    <t>(TITLE(?) OR SUMMARY(?))</t>
  </si>
  <si>
    <t>JN(?)</t>
  </si>
  <si>
    <t>(?):ti</t>
  </si>
  <si>
    <t>(?):ab</t>
  </si>
  <si>
    <t>(?):ti,ab</t>
  </si>
  <si>
    <t>(?):ti,ab,kw</t>
  </si>
  <si>
    <t>?:so</t>
  </si>
  <si>
    <t>Category (Keywords/Controlled Vocabulary/Limits/Final Strings)</t>
  </si>
  <si>
    <t>Field(s) (Keywords)</t>
  </si>
  <si>
    <t>Quotes? (Keywords)</t>
  </si>
  <si>
    <t>Use Term? (Keywords/Controlled Vocabulary/Limits)</t>
  </si>
  <si>
    <t>Preview (PubMed syntax)</t>
  </si>
  <si>
    <t>13. Added support for Cochrane CENTRAL and ProQuest databases
14. Added support for * and ? truncation in keyword entry; terms using asterisk will be highlighted when they duplicate existing keywords</t>
  </si>
  <si>
    <t>MEDLINE (Ovid)</t>
  </si>
  <si>
    <t>?.ti.</t>
  </si>
  <si>
    <t>?.ab.</t>
  </si>
  <si>
    <t>?.ti,ab.</t>
  </si>
  <si>
    <t>?.mp.</t>
  </si>
  <si>
    <t>?.jn.</t>
  </si>
  <si>
    <t>Mapping</t>
  </si>
  <si>
    <t>Explode</t>
  </si>
  <si>
    <t>No explode</t>
  </si>
  <si>
    <t>Controlled Vocabulary (Supplementary Concept)</t>
  </si>
  <si>
    <t>Supplementary concept</t>
  </si>
  <si>
    <t>5. Fixed issue with partial keyword rows propogating '0' into finished searches as term
6. Changed 'Text Word' to 'Title, Abstract, &amp; Keyword' in keyword field selection menu
7. Changed concept labels from PICO categories to numerals only
8. Added support for specifying (non)explosion of controlled vocabulary terms
9. Database names now followed by hosts/vendors where applicable
10. Derived ranges (including 'Preview' cells and the entirety of both 'Yes' and 'Maybe' output sheets) are now protected to prevent accidental edits
11. Formulas in output sheets now use locked references to named ranges, which allows quick expansion of the table in both directions</t>
  </si>
  <si>
    <t>12. Fixed issue with keyword preview column formula which caused error if quotes were set to 'Yes' while 'Field(s)' was blank</t>
  </si>
  <si>
    <t>15. Added support for Ovid MEDLINE
16. Added support for MeSH supplemental concepts, specified in the renamed 'Mapping' column on the controlled vocabulary table
17. Added user guide</t>
  </si>
  <si>
    <t>"?"[MeSH]</t>
  </si>
  <si>
    <t>"?"[Mesh:NoExp]</t>
  </si>
  <si>
    <t>"?"[Supplementary Concept]</t>
  </si>
  <si>
    <t>"?"</t>
  </si>
  <si>
    <t>DE "?"</t>
  </si>
  <si>
    <t>"Index Terms":"?"</t>
  </si>
  <si>
    <t>SUBJECT("?")</t>
  </si>
  <si>
    <t>[mh "?"]</t>
  </si>
  <si>
    <t>[mh ^"?"]</t>
  </si>
  <si>
    <t>exp "?"/</t>
  </si>
  <si>
    <t>"?"/</t>
  </si>
  <si>
    <t>MH "?+"</t>
  </si>
  <si>
    <t>18. Reworked implementation of controlled vocab syntax templates to support infix operators (thereby fixing issue with explosion in EBSCO databases)</t>
  </si>
  <si>
    <t>Author</t>
  </si>
  <si>
    <t>?</t>
  </si>
  <si>
    <t>?[AU]</t>
  </si>
  <si>
    <t>Affiliation</t>
  </si>
  <si>
    <t>?[AD]</t>
  </si>
  <si>
    <t>'?'/exp</t>
  </si>
  <si>
    <t>'?'/de</t>
  </si>
  <si>
    <t>'?'</t>
  </si>
  <si>
    <t>AF ?</t>
  </si>
  <si>
    <t>AU ?</t>
  </si>
  <si>
    <t>?:ff</t>
  </si>
  <si>
    <t>?:au</t>
  </si>
  <si>
    <t>AFFIL(?)</t>
  </si>
  <si>
    <t>AUTH(?)</t>
  </si>
  <si>
    <t>"Authors":?</t>
  </si>
  <si>
    <t>"Author Affiliations":?</t>
  </si>
  <si>
    <t>?.au.</t>
  </si>
  <si>
    <t>?.ia.</t>
  </si>
  <si>
    <t>Controlled Vocabulary (Pharmacological Action)</t>
  </si>
  <si>
    <t>"?"[Pharmacological Action]</t>
  </si>
  <si>
    <t>"?".rn.</t>
  </si>
  <si>
    <t>Pharmacological action</t>
  </si>
  <si>
    <t>Concept 1</t>
  </si>
  <si>
    <t>Concept 2</t>
  </si>
  <si>
    <t>Concept 3</t>
  </si>
  <si>
    <t>Concept 4</t>
  </si>
  <si>
    <t>1. First build suitable for outside testing 
2. Added support for IEEE Xplore output</t>
  </si>
  <si>
    <t>3. Added parentheses around each concept's output on output sheets
4. Added conditional formatting rule for duplicate keywords</t>
  </si>
  <si>
    <t>Web of Science (Clarivate)</t>
  </si>
  <si>
    <t>TI=(?)</t>
  </si>
  <si>
    <t>TS=(?)</t>
  </si>
  <si>
    <t>AB=(?)</t>
  </si>
  <si>
    <t>AU=(?)</t>
  </si>
  <si>
    <t>(TI=(?) OR AB=(?))</t>
  </si>
  <si>
    <t>SO=(?)</t>
  </si>
  <si>
    <t>OG=(?)</t>
  </si>
  <si>
    <t>19. Refactored output sheets to allow user selection of databases, replacing (and inverting) the older column-based layout
20. Implemented data validation rules to prevent (some) accidental overrides of preview and output formulas
21. Added support for 'Author' and 'Affiliation'  keyword fields
22. Added 'Pharmacological action' to 'Mapping' column on the controlled vocabulary table
23. Added support for Web of Science</t>
  </si>
  <si>
    <t>ACM Digital Library</t>
  </si>
  <si>
    <t>(Title: ?)</t>
  </si>
  <si>
    <t>(Abstract: ?)</t>
  </si>
  <si>
    <t>(Title: ?) OR (Abstract: ?)</t>
  </si>
  <si>
    <t>(Title: ?) OR (Abstract: ?) OR (Keywords: ?)</t>
  </si>
  <si>
    <t>(Publication Title: ?)</t>
  </si>
  <si>
    <t>(Author: ?)</t>
  </si>
  <si>
    <t>(Institution: ?)</t>
  </si>
  <si>
    <t>(CCS 2012: ?)</t>
  </si>
  <si>
    <t>24. Added support for ACM Digital Library and Dimensions
25. Formulas in output sheets now correctly format concepts in which all terms are set to 'Maybe'</t>
  </si>
  <si>
    <t>Dimensions (Digital Science)</t>
  </si>
  <si>
    <t>title:?</t>
  </si>
  <si>
    <t>abstract:?</t>
  </si>
  <si>
    <t>(title:? OR abstract:?)</t>
  </si>
  <si>
    <t>source_title:?</t>
  </si>
  <si>
    <t>researcher_name:?</t>
  </si>
  <si>
    <t>org_names_raw:?</t>
  </si>
  <si>
    <t>mesh_terms:?</t>
  </si>
  <si>
    <t>Grant/Funding Number</t>
  </si>
  <si>
    <t>?[GR]</t>
  </si>
  <si>
    <t>FUND-NO(?)</t>
  </si>
  <si>
    <t>?.no.</t>
  </si>
  <si>
    <t>FG=(?)</t>
  </si>
  <si>
    <t>Mapping (Controlled Vocabulary)</t>
  </si>
  <si>
    <t>Major topic</t>
  </si>
  <si>
    <t>exp *"?"/</t>
  </si>
  <si>
    <t>Controlled Vocabulary (Major Topic)</t>
  </si>
  <si>
    <t>?[Majr]</t>
  </si>
  <si>
    <t>?:ti,ab,kw</t>
  </si>
  <si>
    <t>Google Scholar</t>
  </si>
  <si>
    <t>CINAHL (EBSCO)</t>
  </si>
  <si>
    <t>26. Added support for 'Grant/Funding Number' keyword field ([GR] in PubMed &amp; closest analogs in other databases)
27. Added support for MeSH Major Topics in PubMed and Ovid MEDLINE
28. Added support for ERIC, Education Full Text, and Social Work Abstracts
29. Added 'support' for Google Scholar (in the form of a field code-less syntax option)
30. Changed global font to Aptos Narrow for Office 365 compatibility
31. Fixed issue with Embase Title, Abstract, &amp; Keyword field code mapping</t>
  </si>
  <si>
    <t>Start Year</t>
  </si>
  <si>
    <t>End Year</t>
  </si>
  <si>
    <t>Publication Year (Single Year)</t>
  </si>
  <si>
    <t>Publication Year (Range)</t>
  </si>
  <si>
    <t>Publication Year</t>
  </si>
  <si>
    <t>PUBYEAR = ?</t>
  </si>
  <si>
    <t>[?]/py</t>
  </si>
  <si>
    <t>[?-?]/py</t>
  </si>
  <si>
    <t>DT ?</t>
  </si>
  <si>
    <t>DT ?-?</t>
  </si>
  <si>
    <t>PUBYEAR &gt; ? AND PUBYEAR &lt; ?</t>
  </si>
  <si>
    <t>FPY=(?)</t>
  </si>
  <si>
    <t>FPY=(?-?)</t>
  </si>
  <si>
    <t>MM "?"</t>
  </si>
  <si>
    <t>AUTHOR(?)</t>
  </si>
  <si>
    <t>AF(?)</t>
  </si>
  <si>
    <t>PY(?-?)</t>
  </si>
  <si>
    <t>PY(?)</t>
  </si>
  <si>
    <t xml:space="preserve"> </t>
  </si>
  <si>
    <t>"Year":?</t>
  </si>
  <si>
    <t>Supports Publication Year in Search String</t>
  </si>
  <si>
    <t>date:[? TO ?]</t>
  </si>
  <si>
    <t>Filter(s)</t>
  </si>
  <si>
    <t>?[pdat]</t>
  </si>
  <si>
    <t>?:?[pdat]</t>
  </si>
  <si>
    <t>Custom Filter</t>
  </si>
  <si>
    <t>Text</t>
  </si>
  <si>
    <t>JSTOR</t>
  </si>
  <si>
    <t>ta:?</t>
  </si>
  <si>
    <t>ab:?</t>
  </si>
  <si>
    <t>(ta:? OR ab:?)</t>
  </si>
  <si>
    <t>(ta:? OR ab:? OR ca:?)</t>
  </si>
  <si>
    <t>so:?</t>
  </si>
  <si>
    <t>au:?</t>
  </si>
  <si>
    <t>Databases with Controlled Vocab Support (Controlled Vocabulary)</t>
  </si>
  <si>
    <t>EBSCO database(s) other than CINAHL</t>
  </si>
  <si>
    <t>ProQuest database(s)</t>
  </si>
  <si>
    <t>32. Added 'Filters' sheet, which permits publication date-limited searches for databases with corresponding field codes, as well as the addition of free text (e.g. preexisting hedges) to per-database output
33. Added support for JSTOR
34. Consolidated EBSCO databases other than CINAHL (which has distinct syntax for controlled vocabulary explosion) into a single selectable style, as their syntax mapping is identical for the purposes of this sheet; this arrangement mirrors that of the ProQuest databases
35. Adjusted syntax mapping of 'Major topic' controlled vocabulary terms for databases without a comparable field
36. Relocated the source of 'Controlled Vocabulary' sheet's database selection list to omit those without controlled vocabularies</t>
  </si>
  <si>
    <t>TITLE-ABS-KEY(?)</t>
  </si>
  <si>
    <t>XB ?</t>
  </si>
  <si>
    <t>37. Fixed dependencies in 'Searches (with "Maybe" terms)' sheet's concept formulas
38. Fixed issue with Scopus Title, Abstract, &amp; Keyword field code mapping
39. Updated CINAHL's Title, Abstract, &amp; Keyword field code mapping to new(ish) XB field; other EBSCO databases still set to use (TI OR AB)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</si>
</sst>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0"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8"/>
      <name val="Aptos Narrow"/>
      <family val="2"/>
      <scheme val="minor"/>
    </font>
    <font>
      <b/>
      <sz val="11"/>
      <color theme="0"/>
      <name val="Aptos Narrow"/>
      <family val="2"/>
      <scheme val="minor"/>
    </font>
    <font>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1"/>
        <bgColor theme="1"/>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25">
    <xf numFmtId="0" fontId="0" fillId="0" borderId="0" xfId="0"/>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xf numFmtId="0" fontId="0" fillId="0" borderId="0" xfId="0" applyProtection="1">
      <protection locked="0"/>
    </xf>
    <xf numFmtId="0" fontId="0" fillId="0" borderId="0" xfId="0" quotePrefix="1"/>
    <xf numFmtId="0" fontId="8"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lignment horizontal="left"/>
      <extLst>
        <ext xmlns:xfpb="http://schemas.microsoft.com/office/spreadsheetml/2022/featurepropertybag" uri="{C7286773-470A-42A8-94C5-96B5CB345126}">
          <xfpb:xfComplement i="0"/>
        </ext>
      </extLst>
    </xf>
    <xf numFmtId="0" fontId="0" fillId="0" borderId="0" xfId="0" applyAlignment="1">
      <alignment horizontal="left"/>
    </xf>
    <xf numFmtId="0" fontId="7" fillId="2" borderId="0" xfId="0" applyFont="1" applyFill="1"/>
    <xf numFmtId="0" fontId="9" fillId="0" borderId="0" xfId="0" applyFont="1"/>
    <xf numFmtId="0" fontId="7" fillId="3" borderId="1" xfId="0" applyFont="1" applyFill="1" applyBorder="1"/>
    <xf numFmtId="0" fontId="7" fillId="3" borderId="2" xfId="0" applyFont="1" applyFill="1" applyBorder="1"/>
    <xf numFmtId="0" fontId="7" fillId="3" borderId="3" xfId="0" applyFont="1" applyFill="1" applyBorder="1"/>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horizontal="right" vertical="top"/>
    </xf>
    <xf numFmtId="0" fontId="0" fillId="0" borderId="0" xfId="0" applyAlignment="1" applyProtection="1">
      <alignment horizontal="left"/>
      <protection locked="0"/>
    </xf>
    <xf numFmtId="0" fontId="0" fillId="0" borderId="0" xfId="0" applyAlignment="1" applyProtection="1">
      <alignment horizontal="left"/>
      <protection locked="0"/>
      <extLst>
        <ext xmlns:xfpb="http://schemas.microsoft.com/office/spreadsheetml/2022/featurepropertybag" uri="{C7286773-470A-42A8-94C5-96B5CB345126}">
          <xfpb:xfComplement i="0"/>
        </ext>
      </extLst>
    </xf>
    <xf numFmtId="0" fontId="7" fillId="2" borderId="0" xfId="0" applyFont="1" applyFill="1" applyAlignment="1">
      <alignment horizontal="center"/>
    </xf>
  </cellXfs>
  <cellStyles count="1">
    <cellStyle name="Normal" xfId="0" builtinId="0"/>
  </cellStyles>
  <dxfs count="8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strike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yyyy\-mm\-dd;@"/>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1" formatCode="0"/>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0</xdr:colOff>
      <xdr:row>65</xdr:row>
      <xdr:rowOff>0</xdr:rowOff>
    </xdr:to>
    <xdr:sp macro="" textlink="">
      <xdr:nvSpPr>
        <xdr:cNvPr id="2" name="TextBox 1">
          <a:extLst>
            <a:ext uri="{FF2B5EF4-FFF2-40B4-BE49-F238E27FC236}">
              <a16:creationId xmlns:a16="http://schemas.microsoft.com/office/drawing/2014/main" id="{238BC4AE-7C00-B399-24DD-754737133DE0}"/>
            </a:ext>
          </a:extLst>
        </xdr:cNvPr>
        <xdr:cNvSpPr txBox="1"/>
      </xdr:nvSpPr>
      <xdr:spPr>
        <a:xfrm>
          <a:off x="0" y="1"/>
          <a:ext cx="12125325" cy="12382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none" spc="0">
            <a:latin typeface="+mn-lt"/>
            <a:ea typeface="Calibri" panose="020F0502020204030204" pitchFamily="34" charset="0"/>
            <a:cs typeface="Calibri" panose="020F0502020204030204" pitchFamily="34" charset="0"/>
          </a:endParaRPr>
        </a:p>
        <a:p>
          <a:pPr algn="ctr"/>
          <a:r>
            <a:rPr lang="en-US" sz="1600" b="1" u="none" spc="0">
              <a:latin typeface="+mn-lt"/>
              <a:ea typeface="Calibri" panose="020F0502020204030204" pitchFamily="34" charset="0"/>
              <a:cs typeface="Calibri" panose="020F0502020204030204" pitchFamily="34" charset="0"/>
            </a:rPr>
            <a:t>Comprehensive Search Builder v1.4 User</a:t>
          </a:r>
          <a:r>
            <a:rPr lang="en-US" sz="1600" b="1" u="none" spc="0" baseline="0">
              <a:latin typeface="+mn-lt"/>
              <a:ea typeface="Calibri" panose="020F0502020204030204" pitchFamily="34" charset="0"/>
              <a:cs typeface="Calibri" panose="020F0502020204030204" pitchFamily="34" charset="0"/>
            </a:rPr>
            <a:t> Guide</a:t>
          </a:r>
          <a:endParaRPr lang="en-US" sz="1100" u="none" spc="0" baseline="0">
            <a:latin typeface="+mn-lt"/>
            <a:ea typeface="Calibri" panose="020F0502020204030204" pitchFamily="34" charset="0"/>
            <a:cs typeface="Calibri" panose="020F0502020204030204" pitchFamily="34" charset="0"/>
          </a:endParaRPr>
        </a:p>
        <a:p>
          <a:pPr algn="ctr"/>
          <a:r>
            <a:rPr lang="en-US" sz="1100" u="none" spc="0" baseline="0">
              <a:latin typeface="+mn-lt"/>
              <a:ea typeface="Calibri" panose="020F0502020204030204" pitchFamily="34" charset="0"/>
              <a:cs typeface="Calibri" panose="020F0502020204030204" pitchFamily="34" charset="0"/>
            </a:rPr>
            <a:t>Updated 2026-10-06</a:t>
          </a:r>
        </a:p>
        <a:p>
          <a:pPr algn="ctr"/>
          <a:endParaRPr lang="en-US" sz="1100" u="none" spc="0">
            <a:latin typeface="+mn-lt"/>
            <a:ea typeface="Calibri" panose="020F0502020204030204" pitchFamily="34" charset="0"/>
            <a:cs typeface="Calibri" panose="020F0502020204030204" pitchFamily="34" charset="0"/>
          </a:endParaRPr>
        </a:p>
        <a:p>
          <a:r>
            <a:rPr lang="en-US" sz="1100" u="sng" spc="0">
              <a:latin typeface="+mn-lt"/>
              <a:ea typeface="Calibri" panose="020F0502020204030204" pitchFamily="34" charset="0"/>
              <a:cs typeface="Calibri" panose="020F0502020204030204" pitchFamily="34" charset="0"/>
            </a:rPr>
            <a:t>Questions</a:t>
          </a:r>
          <a:r>
            <a:rPr lang="en-US" sz="1100" u="sng" spc="0" baseline="0">
              <a:latin typeface="+mn-lt"/>
              <a:ea typeface="Calibri" panose="020F0502020204030204" pitchFamily="34" charset="0"/>
              <a:cs typeface="Calibri" panose="020F0502020204030204" pitchFamily="34" charset="0"/>
            </a:rPr>
            <a:t>, suggestions, and support requests should be directed to</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L Barron, MSLS </a:t>
          </a:r>
        </a:p>
        <a:p>
          <a:r>
            <a:rPr lang="en-US" sz="1100" u="none" spc="0" baseline="0">
              <a:latin typeface="+mn-lt"/>
              <a:ea typeface="Calibri" panose="020F0502020204030204" pitchFamily="34" charset="0"/>
              <a:cs typeface="Calibri" panose="020F0502020204030204" pitchFamily="34" charset="0"/>
            </a:rPr>
            <a:t>Health Sciences Library</a:t>
          </a:r>
        </a:p>
        <a:p>
          <a:r>
            <a:rPr lang="en-US" sz="1100" u="none" spc="0" baseline="0">
              <a:latin typeface="+mn-lt"/>
              <a:ea typeface="Calibri" panose="020F0502020204030204" pitchFamily="34" charset="0"/>
              <a:cs typeface="Calibri" panose="020F0502020204030204" pitchFamily="34" charset="0"/>
            </a:rPr>
            <a:t>University of North Carolina at Chapel Hill</a:t>
          </a:r>
        </a:p>
        <a:p>
          <a:r>
            <a:rPr lang="en-US" sz="1100" u="none" spc="0" baseline="0">
              <a:latin typeface="+mn-lt"/>
              <a:ea typeface="Calibri" panose="020F0502020204030204" pitchFamily="34" charset="0"/>
              <a:cs typeface="Calibri" panose="020F0502020204030204" pitchFamily="34" charset="0"/>
            </a:rPr>
            <a:t>L_Barron@unc.edu</a:t>
          </a:r>
        </a:p>
        <a:p>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This work is licensed under CC BY-SA 4.0.</a:t>
          </a:r>
          <a:r>
            <a:rPr lang="en-US" sz="1100" baseline="0">
              <a:solidFill>
                <a:schemeClr val="dk1"/>
              </a:solidFill>
              <a:effectLst/>
              <a:latin typeface="+mn-lt"/>
              <a:ea typeface="Calibri" panose="020F0502020204030204" pitchFamily="34" charset="0"/>
              <a:cs typeface="Calibri" panose="020F0502020204030204" pitchFamily="34" charset="0"/>
            </a:rPr>
            <a:t> To view a copy of this license, visit creativecommons.org/licenses/by-sa/4.0/</a:t>
          </a:r>
          <a:endParaRPr lang="en-US" sz="1100" u="none" spc="0">
            <a:latin typeface="+mn-lt"/>
            <a:ea typeface="Calibri" panose="020F0502020204030204" pitchFamily="34" charset="0"/>
            <a:cs typeface="Calibri" panose="020F0502020204030204" pitchFamily="34" charset="0"/>
          </a:endParaRPr>
        </a:p>
        <a:p>
          <a:endParaRPr lang="en-US" sz="1100" u="sng" spc="0">
            <a:latin typeface="+mn-lt"/>
            <a:ea typeface="Calibri" panose="020F0502020204030204" pitchFamily="34" charset="0"/>
            <a:cs typeface="Calibri" panose="020F0502020204030204" pitchFamily="34" charset="0"/>
          </a:endParaRPr>
        </a:p>
        <a:p>
          <a:r>
            <a:rPr lang="en-US" sz="1200" b="1" u="none" spc="0">
              <a:latin typeface="+mn-lt"/>
              <a:ea typeface="Calibri" panose="020F0502020204030204" pitchFamily="34" charset="0"/>
              <a:cs typeface="Calibri" panose="020F0502020204030204" pitchFamily="34" charset="0"/>
            </a:rPr>
            <a:t>Description</a:t>
          </a:r>
        </a:p>
        <a:p>
          <a:r>
            <a:rPr lang="en-US" sz="1100" b="0" i="0" spc="0">
              <a:latin typeface="+mn-lt"/>
              <a:ea typeface="Calibri" panose="020F0502020204030204" pitchFamily="34" charset="0"/>
              <a:cs typeface="Calibri" panose="020F0502020204030204" pitchFamily="34" charset="0"/>
            </a:rPr>
            <a:t>The Comprehensive Search Builder is intended to accelerate the development and translation of literature searches, with a focus on health scienes databases. Provided a list of user-defined keywords and optional controlled vocabulary terms, it automatically generates search strings using appropriate Boolean operators and search engine-specific syntax. </a:t>
          </a:r>
          <a:r>
            <a:rPr lang="en-US" sz="1100" spc="0" baseline="0">
              <a:latin typeface="+mn-lt"/>
              <a:ea typeface="Calibri" panose="020F0502020204030204" pitchFamily="34" charset="0"/>
              <a:cs typeface="Calibri" panose="020F0502020204030204" pitchFamily="34" charset="0"/>
            </a:rPr>
            <a:t>To maximize ease of use and portability, the tool is built entirely using functions native to Microsoft Excel. </a:t>
          </a: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Instructions</a:t>
          </a:r>
        </a:p>
        <a:p>
          <a:r>
            <a:rPr lang="en-US" sz="1100" u="none" spc="0" baseline="0">
              <a:latin typeface="+mn-lt"/>
              <a:ea typeface="Calibri" panose="020F0502020204030204" pitchFamily="34" charset="0"/>
              <a:cs typeface="Calibri" panose="020F0502020204030204" pitchFamily="34" charset="0"/>
            </a:rPr>
            <a:t>The steps below assume a perfectly linear search development process, though the tool is designed with more realistic workflows — including testing, iteration, and review by other parties — in mind. Search strings are generated in real time with changes to keywords, controlled vocabulary terms, and filters. Sheet protection settings permit basic Excel functionality (e.g., column sorting and row insertion) wherever possible to allow maximum flexibility for advanced users. </a:t>
          </a:r>
        </a:p>
        <a:p>
          <a:endParaRPr lang="en-US" sz="1100" u="sng"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build a new search</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1.   Navigate to the sheet titled 'Keywords'.</a:t>
          </a:r>
        </a:p>
        <a:p>
          <a:r>
            <a:rPr lang="en-US" sz="1100" u="none" spc="0" baseline="0">
              <a:latin typeface="+mn-lt"/>
              <a:ea typeface="Calibri" panose="020F0502020204030204" pitchFamily="34" charset="0"/>
              <a:cs typeface="Calibri" panose="020F0502020204030204" pitchFamily="34" charset="0"/>
            </a:rPr>
            <a:t>2.   Enter a keyword in the first row of the column labeled 'Term'. Keywords can consist of multiple words separated by spaces and/or hyphens, and may include the * truncation operator. </a:t>
          </a:r>
        </a:p>
        <a:p>
          <a:r>
            <a:rPr lang="en-US" sz="1100" u="none" spc="0" baseline="0">
              <a:latin typeface="+mn-lt"/>
              <a:ea typeface="Calibri" panose="020F0502020204030204" pitchFamily="34" charset="0"/>
              <a:cs typeface="Calibri" panose="020F0502020204030204" pitchFamily="34" charset="0"/>
            </a:rPr>
            <a:t>3.   In the column labeled 'Concept', assign the term to a numbered group. These may correspond to the components of academic or clinical question frameworks like PICO (Population, Intervention/Exposure, Comparison, Outcome).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4.   To enclose a term or phrase in quotes, type or select 'Yes' from the dropdown menu in the column labeled 'Quotes?' If this value is blank or 'No' entered, quotes will not be applied.</a:t>
          </a:r>
        </a:p>
        <a:p>
          <a:r>
            <a:rPr lang="en-US" sz="1100" u="none" spc="0" baseline="0">
              <a:latin typeface="+mn-lt"/>
              <a:ea typeface="Calibri" panose="020F0502020204030204" pitchFamily="34" charset="0"/>
              <a:cs typeface="Calibri" panose="020F0502020204030204" pitchFamily="34" charset="0"/>
            </a:rPr>
            <a:t>5.   To search for the term only in a specific field (e.g., title) or set of fields (e.g., title, abstract, and author-defined keywords), select the corresponding option in the column labeled 'Field(s)'. If this value is blank, no field tag will be applied. </a:t>
          </a:r>
        </a:p>
        <a:p>
          <a:r>
            <a:rPr lang="en-US" sz="1100" u="none" spc="0" baseline="0">
              <a:latin typeface="+mn-lt"/>
              <a:ea typeface="Calibri" panose="020F0502020204030204" pitchFamily="34" charset="0"/>
              <a:cs typeface="Calibri" panose="020F0502020204030204" pitchFamily="34" charset="0"/>
            </a:rPr>
            <a:t>6.   Optionally, use the column labeled 'Use Term?' for testing and/or documentation purposes. If the value is blank or set to 'Yes', the term will be included in both output sheets. If 'Maybe', the term will be only be included in the second sheet. 'No' will exclude a term from both. </a:t>
          </a:r>
        </a:p>
        <a:p>
          <a:r>
            <a:rPr lang="en-US" sz="1100" u="none" spc="0" baseline="0">
              <a:latin typeface="+mn-lt"/>
              <a:ea typeface="Calibri" panose="020F0502020204030204" pitchFamily="34" charset="0"/>
              <a:cs typeface="Calibri" panose="020F0502020204030204" pitchFamily="34" charset="0"/>
            </a:rPr>
            <a:t>7.   To add additional terms, step down one row and repeat steps 2–7. </a:t>
          </a:r>
        </a:p>
        <a:p>
          <a:r>
            <a:rPr lang="en-US" sz="1100" u="none" spc="0" baseline="0">
              <a:latin typeface="+mn-lt"/>
              <a:ea typeface="Calibri" panose="020F0502020204030204" pitchFamily="34" charset="0"/>
              <a:cs typeface="Calibri" panose="020F0502020204030204" pitchFamily="34" charset="0"/>
            </a:rPr>
            <a:t>8.   When all desired keyword terms have been entered and configured, navigate to the sheet titled 'Controlled Vocabulary'. </a:t>
          </a:r>
        </a:p>
        <a:p>
          <a:r>
            <a:rPr lang="en-US" sz="1100" u="none" spc="0" baseline="0">
              <a:latin typeface="+mn-lt"/>
              <a:ea typeface="Calibri" panose="020F0502020204030204" pitchFamily="34" charset="0"/>
              <a:cs typeface="Calibri" panose="020F0502020204030204" pitchFamily="34" charset="0"/>
            </a:rPr>
            <a:t>9.   Enter a known controlled vocabulary (e.g., MeSH or Emtree) term in first row of the column labeled 'Term'. </a:t>
          </a:r>
        </a:p>
        <a:p>
          <a:r>
            <a:rPr lang="en-US" sz="1100" u="none" spc="0" baseline="0">
              <a:latin typeface="+mn-lt"/>
              <a:ea typeface="Calibri" panose="020F0502020204030204" pitchFamily="34" charset="0"/>
              <a:cs typeface="Calibri" panose="020F0502020204030204" pitchFamily="34" charset="0"/>
            </a:rPr>
            <a:t>10. In the column labeled 'Concept', assign the term to a numbered group. These are the same as the groups assigned in step 3 — a MeSH term assigned to (e.g.) concept 1 will be grouped with keywords assigned to concept 1 in the output searches.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11. In the column labeled 'Database', indicate the database in which the term applies. If a term applies in multiple databases, treat each instance as a separate term. Databases that do not implement a controlled vocabulary are not selectable on this sheet. </a:t>
          </a:r>
        </a:p>
        <a:p>
          <a:r>
            <a:rPr lang="en-US" sz="1100" u="none" spc="0" baseline="0">
              <a:latin typeface="+mn-lt"/>
              <a:ea typeface="Calibri" panose="020F0502020204030204" pitchFamily="34" charset="0"/>
              <a:cs typeface="Calibri" panose="020F0502020204030204" pitchFamily="34" charset="0"/>
            </a:rPr>
            <a:t>12. In the column labeled 'Mapping', indicate special conditions for the term. If this value is blank or 'Explode', the term will be set to automatically explode if possible. 'No explode' prevents inclusion of subordinate terms in the relevant vocabulary's hierarchy. 'Supplementary concept', supported only by PubMed and Ovid MEDLINE, allows the use of MeSH supplementary terms.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13. </a:t>
          </a:r>
          <a:r>
            <a:rPr lang="en-US" sz="1100" baseline="0">
              <a:solidFill>
                <a:schemeClr val="dk1"/>
              </a:solidFill>
              <a:effectLst/>
              <a:latin typeface="+mn-lt"/>
              <a:ea typeface="Calibri" panose="020F0502020204030204" pitchFamily="34" charset="0"/>
              <a:cs typeface="Calibri" panose="020F0502020204030204" pitchFamily="34" charset="0"/>
            </a:rPr>
            <a:t>Optionally, use the column labeled 'Use Term?' for testing and/or documentation purposes. If the value is blank or set to 'Yes', the term will be included in both output sheets. If 'Maybe', the term will be only be included in the second sheet. 'No' will exclude a term from both.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14. To add additional terms, step down one row and repeat steps 9–13.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15. When all desired controlled vocabulary terms have been entered and configured, navigate to the sheet titled 'Filters'.</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16. To filter by publication year, enter a starting year, and ending year, or both as four-digit numbers in the 'Publication Year' table. To limit to a single year, enter it as both the start and end of the interval. No output will be generated for databases that do not support direct searching for publication year.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17. To append a custom filter or hedge (e.g. from a previous search) to the output for a specific database, enter them in the 'Text' column of the 'Custom Filter' table.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18. Designate the database for which the text is formatted using the 'Database' column. Multiple rows may be assigned to the same database.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19. </a:t>
          </a:r>
          <a:r>
            <a:rPr lang="en-US" sz="1100" baseline="0">
              <a:solidFill>
                <a:schemeClr val="dk1"/>
              </a:solidFill>
              <a:effectLst/>
              <a:latin typeface="+mn-lt"/>
              <a:ea typeface="+mn-ea"/>
              <a:cs typeface="+mn-cs"/>
            </a:rPr>
            <a:t>To add additional filters, step down one row and repeat steps 17 &amp; 18. </a:t>
          </a:r>
          <a:endParaRPr lang="en-US" sz="1100" u="none" spc="0" baseline="0">
            <a:latin typeface="+mn-lt"/>
            <a:ea typeface="Calibri" panose="020F0502020204030204" pitchFamily="34" charset="0"/>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20. When all desired filters have been entered and configured, navigate to either of the sheets titled 'Searches'. The first includes only terms with 'Use Term?' values of 'Yes' (or blank); the second include terms with values of 'Yes' and 'Maybe' (or blank).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21. In the first row of the column labeled 'Database', select from the dropdown a database for which searches should be generated.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22. To add additional database outputs, step down one row and repeat step 21.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23. Copy completed searches from the rightmost cell of the appropriate row and paste into the corresponding database's search bar. Alternatively, copy individual search concepts' strings from the corresponding columns and use tem separately.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u="none"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transfer contents (e.g., search concepts) from other Comprehensive Search Builder files</a:t>
          </a:r>
          <a:r>
            <a:rPr lang="en-US" sz="1100" u="none" spc="0" baseline="0">
              <a:latin typeface="+mn-lt"/>
              <a:ea typeface="Calibri" panose="020F0502020204030204" pitchFamily="34" charset="0"/>
              <a:cs typeface="Calibri" panose="020F050202020403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   </a:t>
          </a:r>
          <a:r>
            <a:rPr lang="en-US" sz="1100">
              <a:solidFill>
                <a:schemeClr val="dk1"/>
              </a:solidFill>
              <a:effectLst/>
              <a:latin typeface="+mn-lt"/>
              <a:ea typeface="+mn-ea"/>
              <a:cs typeface="+mn-cs"/>
            </a:rPr>
            <a:t>From another Comprehensive Search Builder file, copy columns A–D (for 'Keywords' sheet), columns A–E (for 'Controlled Vocabulary' sheet), or A &amp; B (for ‘Filters’ sheet) of the rows with content to be transferred.</a:t>
          </a:r>
          <a:endParaRPr lang="en-US" sz="1100" baseline="0">
            <a:solidFill>
              <a:schemeClr val="dk1"/>
            </a:solidFill>
            <a:effectLst/>
            <a:latin typeface="+mn-lt"/>
            <a:ea typeface="Calibri" panose="020F0502020204030204" pitchFamily="34" charset="0"/>
            <a:cs typeface="Calibri" panose="020F0502020204030204" pitchFamily="34" charset="0"/>
          </a:endParaRPr>
        </a:p>
        <a:p>
          <a:r>
            <a:rPr lang="en-US" sz="1100" baseline="0">
              <a:solidFill>
                <a:schemeClr val="dk1"/>
              </a:solidFill>
              <a:effectLst/>
              <a:latin typeface="+mn-lt"/>
              <a:ea typeface="Calibri" panose="020F0502020204030204" pitchFamily="34" charset="0"/>
              <a:cs typeface="Calibri" panose="020F0502020204030204" pitchFamily="34" charset="0"/>
            </a:rPr>
            <a:t>2.   Into the destination file, paste the copied cells in the topmost blank row of the appropriate sheet. For best results, paste as values (right click and hit 'V' or select 'Values' under 'Paste Options'). </a:t>
          </a:r>
          <a:endParaRPr lang="en-US" sz="1100" u="none" spc="0" baseline="0">
            <a:latin typeface="+mn-lt"/>
            <a:ea typeface="Calibri" panose="020F0502020204030204" pitchFamily="34" charset="0"/>
            <a:cs typeface="Calibri" panose="020F0502020204030204" pitchFamily="34" charset="0"/>
          </a:endParaRP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Technical Notes</a:t>
          </a:r>
        </a:p>
        <a:p>
          <a:r>
            <a:rPr lang="en-US">
              <a:latin typeface="+mn-lt"/>
              <a:ea typeface="Calibri" panose="020F0502020204030204" pitchFamily="34" charset="0"/>
              <a:cs typeface="Calibri" panose="020F0502020204030204" pitchFamily="34" charset="0"/>
            </a:rPr>
            <a:t>  –  </a:t>
          </a:r>
          <a:r>
            <a:rPr lang="en-US" sz="1100" u="none" spc="0" baseline="0">
              <a:solidFill>
                <a:schemeClr val="dk1"/>
              </a:solidFill>
              <a:effectLst/>
              <a:latin typeface="+mn-lt"/>
              <a:ea typeface="Calibri" panose="020F0502020204030204" pitchFamily="34" charset="0"/>
              <a:cs typeface="Calibri" panose="020F0502020204030204" pitchFamily="34" charset="0"/>
            </a:rPr>
            <a:t>This tool currently supports only first-order nesting </a:t>
          </a:r>
          <a:r>
            <a:rPr lang="en-US">
              <a:latin typeface="+mn-lt"/>
              <a:ea typeface="Calibri" panose="020F0502020204030204" pitchFamily="34" charset="0"/>
              <a:cs typeface="Calibri" panose="020F0502020204030204" pitchFamily="34" charset="0"/>
            </a:rPr>
            <a:t>—</a:t>
          </a:r>
          <a:r>
            <a:rPr lang="en-US" baseline="0">
              <a:latin typeface="+mn-lt"/>
              <a:ea typeface="Calibri" panose="020F0502020204030204" pitchFamily="34" charset="0"/>
              <a:cs typeface="Calibri" panose="020F0502020204030204" pitchFamily="34" charset="0"/>
            </a:rPr>
            <a:t> concepts are automatically joined with AND operators, but are only generated with internal OR operators. It is possible to work around this by entering sub-concepts (e.g., ("Spanish" AND "influenza") as part of a concept addresssing the 1918–1920 flu pandemic) as terms in the 'Keywords' sheet with no quotes or field codes. These will be propogated through to the final search strategies, but will require manual application of field codes (if required) for each target database. </a:t>
          </a:r>
        </a:p>
        <a:p>
          <a:r>
            <a:rPr lang="en-US" baseline="0">
              <a:latin typeface="+mn-lt"/>
              <a:ea typeface="Calibri" panose="020F0502020204030204" pitchFamily="34" charset="0"/>
              <a:cs typeface="Calibri" panose="020F0502020204030204" pitchFamily="34" charset="0"/>
            </a:rPr>
            <a:t>  –  Excel automatically adds a carriage return to strings copied to the clipboard. In some databases, this can make pasted searches appear blank, though functionality should not be affected. Using 'advanced' search interfaces where possible will keep searches visible. Alternatively, simply hit backspace once after pasting. </a:t>
          </a:r>
        </a:p>
        <a:p>
          <a:r>
            <a:rPr kumimoji="0" lang="en-US" sz="1100" b="0" i="0" u="none" strike="noStrike" kern="0" cap="none" spc="0" normalizeH="0" baseline="0" noProof="0">
              <a:ln>
                <a:noFill/>
              </a:ln>
              <a:solidFill>
                <a:prstClr val="black"/>
              </a:solidFill>
              <a:effectLst/>
              <a:uLnTx/>
              <a:uFillTx/>
              <a:latin typeface="+mn-lt"/>
              <a:ea typeface="Calibri" panose="020F0502020204030204" pitchFamily="34" charset="0"/>
              <a:cs typeface="Calibri" panose="020F0502020204030204" pitchFamily="34" charset="0"/>
            </a:rPr>
            <a:t>  –  Although default zoom settings and column widths are intended to keep things visible on most screens, adjustments may be necessary. In fact, they're encouraged — the output sheets' protection settings allow unused columns to be hidden for better space efficiency. Column headers are also furnished with dropdown menus to allow reordering if necessary. </a:t>
          </a:r>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  –  Formulas</a:t>
          </a:r>
          <a:r>
            <a:rPr lang="en-US" sz="1100" baseline="0">
              <a:solidFill>
                <a:schemeClr val="dk1"/>
              </a:solidFill>
              <a:effectLst/>
              <a:latin typeface="+mn-lt"/>
              <a:ea typeface="Calibri" panose="020F0502020204030204" pitchFamily="34" charset="0"/>
              <a:cs typeface="Calibri" panose="020F0502020204030204" pitchFamily="34" charset="0"/>
            </a:rPr>
            <a:t> that implement d</a:t>
          </a:r>
          <a:r>
            <a:rPr lang="en-US" sz="1100">
              <a:solidFill>
                <a:schemeClr val="dk1"/>
              </a:solidFill>
              <a:effectLst/>
              <a:latin typeface="+mn-lt"/>
              <a:ea typeface="Calibri" panose="020F0502020204030204" pitchFamily="34" charset="0"/>
              <a:cs typeface="Calibri" panose="020F0502020204030204" pitchFamily="34" charset="0"/>
            </a:rPr>
            <a:t>atabase-specific</a:t>
          </a:r>
          <a:r>
            <a:rPr lang="en-US" sz="1100" baseline="0">
              <a:solidFill>
                <a:schemeClr val="dk1"/>
              </a:solidFill>
              <a:effectLst/>
              <a:latin typeface="+mn-lt"/>
              <a:ea typeface="Calibri" panose="020F0502020204030204" pitchFamily="34" charset="0"/>
              <a:cs typeface="Calibri" panose="020F0502020204030204" pitchFamily="34" charset="0"/>
            </a:rPr>
            <a:t> syntax refer to a hidden sheet titled 'Backend - Syntax Table'. Support for additional databases can be accomplished by adding one row each to the table it contains and updating three data validation rules which reference it absolutely (one each in the 'Database' columns of the 'Controlled Vocabulary' and 'Searches' sheets). All other references are relative and will update automatically. </a:t>
          </a:r>
          <a:endParaRPr lang="en-US">
            <a:effectLst/>
            <a:latin typeface="+mn-lt"/>
            <a:ea typeface="Calibri" panose="020F0502020204030204" pitchFamily="34" charset="0"/>
            <a:cs typeface="Calibri" panose="020F0502020204030204" pitchFamily="34" charset="0"/>
          </a:endParaRPr>
        </a:p>
        <a:p>
          <a:endParaRPr lang="en-US" sz="1100" u="none" spc="0" baseline="0">
            <a:latin typeface="+mn-lt"/>
            <a:ea typeface="Calibri" panose="020F0502020204030204" pitchFamily="34" charset="0"/>
            <a:cs typeface="Calibri" panose="020F0502020204030204" pitchFamily="34" charset="0"/>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205239-03FF-4445-A67B-7F30CB5C33B5}" name="Table8" displayName="Table8" ref="A1:C13" totalsRowShown="0" headerRowDxfId="74" dataDxfId="73">
  <autoFilter ref="A1:C13" xr:uid="{F5205239-03FF-4445-A67B-7F30CB5C33B5}"/>
  <tableColumns count="3">
    <tableColumn id="1" xr3:uid="{4D6B1C77-E35E-4FC0-9C72-79108BD86606}" name="Version" dataDxfId="72"/>
    <tableColumn id="2" xr3:uid="{31D2197A-9299-486E-BA1B-C557974DF4A9}" name="Date" dataDxfId="71"/>
    <tableColumn id="3" xr3:uid="{161AD9E6-E563-4888-906A-E0F24B6EE98A}" name="Changes" dataDxfId="7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155DC6-2EA2-4816-9094-3E1DE10273D5}" name="KeywordsTable" displayName="KeywordsTable" ref="A1:G2" totalsRowShown="0" headerRowDxfId="83" dataDxfId="82">
  <autoFilter ref="A1:G2" xr:uid="{CF155DC6-2EA2-4816-9094-3E1DE10273D5}"/>
  <sortState xmlns:xlrd2="http://schemas.microsoft.com/office/spreadsheetml/2017/richdata2" ref="A2:G2">
    <sortCondition ref="A1:A2"/>
  </sortState>
  <tableColumns count="7">
    <tableColumn id="2" xr3:uid="{17BEFD46-9A1D-4DEB-8F09-FBDBC23BB86D}" name="Concept" dataDxfId="81"/>
    <tableColumn id="6" xr3:uid="{B88623B9-5FE3-45E2-9EC3-822DA60996F4}" name="Term" dataDxfId="80"/>
    <tableColumn id="7" xr3:uid="{623935EA-023B-4ECC-A58A-C3DE622A1F13}" name="Quotes?" dataDxfId="79"/>
    <tableColumn id="3" xr3:uid="{D7FD7D6B-A29B-46BA-BD4C-DD3E959A5B29}" name="Field(s)" dataDxfId="78"/>
    <tableColumn id="5" xr3:uid="{B65222E9-B6AD-45EF-B27E-D946D8D80C7F}" name="Use Term?" dataDxfId="77"/>
    <tableColumn id="8" xr3:uid="{65FD7334-11E4-4AB6-9A16-2FD1399EA670}" name="Preview (PubMed syntax)" dataDxfId="76">
      <calculatedColumnFormula>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calculatedColumnFormula>
    </tableColumn>
    <tableColumn id="1" xr3:uid="{B23E9CB2-A9FD-4592-91D3-62FBB4AEF026}" name="Notes" dataDxfId="7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BA4293-14E3-4EE9-8DC0-9FB9FCF928CF}" name="ControlledVocabTable" displayName="ControlledVocabTable" ref="A1:G2" totalsRowShown="0" headerRowDxfId="69" dataDxfId="68">
  <autoFilter ref="A1:G2" xr:uid="{76BA4293-14E3-4EE9-8DC0-9FB9FCF928CF}"/>
  <sortState xmlns:xlrd2="http://schemas.microsoft.com/office/spreadsheetml/2017/richdata2" ref="A2:G2">
    <sortCondition ref="A1:A2"/>
  </sortState>
  <tableColumns count="7">
    <tableColumn id="2" xr3:uid="{27D63950-EFBA-4F8E-90E4-313520CC7089}" name="Concept" dataDxfId="67"/>
    <tableColumn id="7" xr3:uid="{1F9017C5-8390-466E-8B1C-8A164197A6A0}" name="Term" dataDxfId="66"/>
    <tableColumn id="6" xr3:uid="{2E36E7B9-DB4A-421A-B462-A5BB83222784}" name="Database" dataDxfId="65"/>
    <tableColumn id="10" xr3:uid="{93622264-4CE1-4F10-A551-DEF7E8DD599C}" name="Mapping" dataDxfId="64"/>
    <tableColumn id="5" xr3:uid="{AE5A5EF5-669F-4A88-83BE-0A922864F307}" name="Use Term?" dataDxfId="63"/>
    <tableColumn id="8" xr3:uid="{22D09B7E-A364-40A4-B2B9-E598C0BE39CC}" name="Preview" dataDxfId="62">
      <calculatedColumnFormula array="1">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calculatedColumnFormula>
    </tableColumn>
    <tableColumn id="1" xr3:uid="{59E99C58-8882-4A7D-8504-DABE00BE699D}" name="Notes" dataDxfId="6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604DC-050A-4C7A-8A7B-24C67A606DED}" name="PubYearFilterTable" displayName="PubYearFilterTable" ref="A2:B3" totalsRowShown="0" headerRowDxfId="60" dataDxfId="59">
  <autoFilter ref="A2:B3" xr:uid="{403604DC-050A-4C7A-8A7B-24C67A606DED}"/>
  <tableColumns count="2">
    <tableColumn id="1" xr3:uid="{05BE2A37-3553-44E9-9531-8EE282A87BBC}" name="Start Year" dataDxfId="58"/>
    <tableColumn id="2" xr3:uid="{50ECDFFF-7522-43DA-8EF1-7F5E7CA7176F}" name="End Year" dataDxfId="57"/>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94CCB1-BEF8-4FAF-8E97-8DDAD1C7A095}" name="CustomFilterTable" displayName="CustomFilterTable" ref="A6:B7" totalsRowShown="0" headerRowDxfId="56" dataDxfId="55">
  <autoFilter ref="A6:B7" xr:uid="{F394CCB1-BEF8-4FAF-8E97-8DDAD1C7A095}"/>
  <tableColumns count="2">
    <tableColumn id="1" xr3:uid="{3CC66FEA-3197-4447-BF3A-CBA812DD3310}" name="Text" dataDxfId="54"/>
    <tableColumn id="2" xr3:uid="{05565328-239F-447E-90CA-9766C537D329}" name="Database" dataDxfId="53"/>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44FC39-7EEB-4F79-B66D-58728E4961C1}" name="SearchTable" displayName="SearchTable" ref="A1:G2" totalsRowShown="0" headerRowDxfId="52" dataDxfId="51">
  <autoFilter ref="A1:G2" xr:uid="{FF44FC39-7EEB-4F79-B66D-58728E4961C1}"/>
  <tableColumns count="7">
    <tableColumn id="1" xr3:uid="{089DEB50-0A42-48A2-9CE1-3187B35748F3}" name="Database" dataDxfId="50"/>
    <tableColumn id="2" xr3:uid="{80BC8E9C-0A71-46B9-AB95-E04988694DEE}" name="Concept 1" dataDxfId="49">
      <calculatedColumnFormula array="1"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6ED46610-FD47-48CB-BA77-58F59730497E}" name="Concept 2" dataDxfId="48">
      <calculatedColumnFormula array="1"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4" xr3:uid="{577E2EF6-3389-4B4B-A06B-4BE0042003A0}" name="Concept 3" dataDxfId="47">
      <calculatedColumnFormula array="1"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5" xr3:uid="{DBC93227-E669-46F7-9B61-C642A9C53AC8}" name="Concept 4" dataDxfId="46">
      <calculatedColumnFormula array="1"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8" xr3:uid="{767366E2-31EC-40DA-9BF8-59CE31364229}" name="Filter(s)" dataDxfId="45">
      <calculatedColumnFormula array="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CustomFilterTable[[Database]:[Database]]), CustomFilterTable[[Text]:[Text]], "")), "")</calculatedColumnFormula>
    </tableColumn>
    <tableColumn id="6" xr3:uid="{0AF63166-8704-4E7E-9843-3EB7CE9B9334}" name="Combined" dataDxfId="44">
      <calculatedColumnFormula xml:space="preserve"> SUBSTITUTE(IF((COUNTBLANK(SearchTable[[#This Row],[Concept 1]:[Concept 4]]) &lt; 3) * NOT(ISBLANK(SearchTable[[#This Row],[Database]])), "(?)", "?"),"?", _xlfn.TEXTJOIN(" AND ", TRUE, SearchTable[[#This Row],[Concept 1]:[Concept 4]], SearchTable[[#This Row],[Filter(s)]]))</calculatedColumnFormula>
    </tableColumn>
  </tableColumns>
  <tableStyleInfo name="TableStyleMedium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01CEA9-F0C8-4B02-8594-6A87FA68D520}" name="SearchTableAlt" displayName="SearchTableAlt" ref="A1:G2" headerRowDxfId="43" dataDxfId="42" totalsRowDxfId="41">
  <autoFilter ref="A1:G2" xr:uid="{FF44FC39-7EEB-4F79-B66D-58728E4961C1}"/>
  <tableColumns count="7">
    <tableColumn id="1" xr3:uid="{6B1FC34A-9F1C-4058-B22B-1D477E3AB715}" name="Database" totalsRowFunction="custom" dataDxfId="40" totalsRowDxfId="39">
      <totalsRowFormula>'Searches ("Yes" terms only)'!A2</totalsRowFormula>
    </tableColumn>
    <tableColumn id="2" xr3:uid="{9D744987-F1AE-408B-85F3-D6298C474370}" name="Concept 1" dataDxfId="38" totalsRowDxfId="37">
      <calculatedColumnFormula array="1"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527B4953-ED6C-4246-AE9D-D92336AC7909}" name="Concept 2" dataDxfId="36" totalsRowDxfId="35"/>
    <tableColumn id="4" xr3:uid="{B499A993-9AFB-4656-82AD-85D3871D504F}" name="Concept 3" dataDxfId="34" totalsRowDxfId="33"/>
    <tableColumn id="5" xr3:uid="{13C08CDA-14BC-45DB-8AB2-FABC1BC89A23}" name="Concept 4" dataDxfId="32" totalsRowDxfId="31"/>
    <tableColumn id="7" xr3:uid="{8481A203-BFE5-46DA-A930-BB8D434372A3}" name="Filter(s)" dataDxfId="30">
      <calculatedColumnFormula array="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calculatedColumnFormula>
    </tableColumn>
    <tableColumn id="6" xr3:uid="{4E367740-95EA-4894-82AD-5F740A74FDDD}" name="Combined" dataDxfId="29" totalsRowDxfId="28">
      <calculatedColumnFormula xml:space="preserve"> SUBSTITUTE(IF((COUNTBLANK(SearchTableAlt[[#This Row],[Concept 1]:[Concept 4]]) &lt; 3) * NOT(ISBLANK(SearchTableAlt[[#This Row],[Database]])), "(?)", "?"),"?", _xlfn.TEXTJOIN(" AND ", TRUE, SearchTableAlt[[#This Row],[Concept 1]:[Concept 4]], SearchTableAlt[[#This Row],[Filter(s)]]))</calculatedColumnFormula>
    </tableColumn>
  </tableColumns>
  <tableStyleInfo name="TableStyleMedium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63424D-9C7E-4395-8513-54E51FDCAB2F}" name="SyntaxTable" displayName="SyntaxTable" ref="A1:R15" totalsRowShown="0" headerRowDxfId="27" dataDxfId="26">
  <autoFilter ref="A1:R15" xr:uid="{1463424D-9C7E-4395-8513-54E51FDCAB2F}"/>
  <sortState xmlns:xlrd2="http://schemas.microsoft.com/office/spreadsheetml/2017/richdata2" ref="A2:R15">
    <sortCondition ref="A1:A15"/>
  </sortState>
  <tableColumns count="18">
    <tableColumn id="1" xr3:uid="{326C313A-B4ED-4C7A-9166-A364DEB05866}" name="Database" dataDxfId="25"/>
    <tableColumn id="7" xr3:uid="{58C71C3D-7DCC-4098-92C5-D99C3C7E2B9E}" name="Quote Style" dataDxfId="24"/>
    <tableColumn id="10" xr3:uid="{A07A693E-CDB8-4987-BED0-F80A7CDA2E03}" name="Title" dataDxfId="23"/>
    <tableColumn id="11" xr3:uid="{114F2E86-E3D3-49B6-A669-205E285488DF}" name="Abstract" dataDxfId="22"/>
    <tableColumn id="12" xr3:uid="{1E8161EF-AC7E-4093-BC76-659A6D90DD63}" name="Title &amp; Abstract" dataDxfId="21"/>
    <tableColumn id="2" xr3:uid="{024523B1-0810-43C1-80C6-A7340345175B}" name="Title, Abstract, &amp; Keyword" dataDxfId="20"/>
    <tableColumn id="3" xr3:uid="{0BD0E69E-C357-41B4-8C45-28228FCF4A7B}" name="Journal" dataDxfId="19"/>
    <tableColumn id="6" xr3:uid="{109E094A-862E-4EED-8E49-735AC6317D58}" name="Author" dataDxfId="18"/>
    <tableColumn id="8" xr3:uid="{D57107A2-5142-4961-B03C-080ABDCEA3C6}" name="Affiliation" dataDxfId="17"/>
    <tableColumn id="14" xr3:uid="{8F86BBFF-681E-45AE-90D7-2FBE5FF399B1}" name="Grant/Funding Number" dataDxfId="16"/>
    <tableColumn id="15" xr3:uid="{4C0A608F-0B73-4933-8FEF-7972A32DF255}" name="Controlled Vocabulary (Major Topic)"/>
    <tableColumn id="13" xr3:uid="{BBC50691-85A4-410B-A1CC-A552DB87F109}" name="Controlled Vocabulary (Explosion)" dataDxfId="15"/>
    <tableColumn id="4" xr3:uid="{FBBFA61E-6540-4A4F-B8F2-3FC5EFC6511B}" name="Controlled Vocabulary (No Explosion)" dataDxfId="14"/>
    <tableColumn id="5" xr3:uid="{65BA4B85-FC49-4B02-A663-91BC09CF2F6F}" name="Controlled Vocabulary (Supplementary Concept)" dataDxfId="13"/>
    <tableColumn id="9" xr3:uid="{E2D9AC77-E27C-4F12-8ACC-B72C3F6A9F84}" name="Controlled Vocabulary (Pharmacological Action)" dataDxfId="12"/>
    <tableColumn id="21" xr3:uid="{B19B3ADE-98AD-47E7-8C5F-66DF1D9208E1}" name="Supports Publication Year in Search String" dataDxfId="11"/>
    <tableColumn id="19" xr3:uid="{22AD39E8-3641-4603-8CA0-2096BCB02673}" name="Publication Year (Single Year)" dataDxfId="10"/>
    <tableColumn id="20" xr3:uid="{271EBE1F-C9F2-44F5-9CD1-44BFBC539D32}" name="Publication Year (Range)"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883E-7597-492D-BF6E-071C963748E5}">
  <sheetPr>
    <tabColor rgb="FFC00000"/>
  </sheetPr>
  <dimension ref="A1:XFC17"/>
  <sheetViews>
    <sheetView topLeftCell="A4" zoomScaleNormal="100" workbookViewId="0">
      <selection activeCell="A2" sqref="A2"/>
    </sheetView>
  </sheetViews>
  <sheetFormatPr defaultColWidth="0" defaultRowHeight="15" zeroHeight="1" x14ac:dyDescent="0.25"/>
  <cols>
    <col min="1" max="1" width="10" bestFit="1" customWidth="1"/>
    <col min="2" max="2" width="11.5703125" bestFit="1" customWidth="1"/>
    <col min="3" max="3" width="117" bestFit="1" customWidth="1"/>
    <col min="4" max="16383" width="8.7109375" hidden="1"/>
    <col min="16384" max="16384" width="1.42578125" hidden="1" customWidth="1"/>
  </cols>
  <sheetData>
    <row r="1" spans="1:3" x14ac:dyDescent="0.25">
      <c r="A1" t="s">
        <v>0</v>
      </c>
      <c r="B1" t="s">
        <v>1</v>
      </c>
      <c r="C1" t="s">
        <v>2</v>
      </c>
    </row>
    <row r="2" spans="1:3" ht="30" x14ac:dyDescent="0.25">
      <c r="A2" s="9">
        <v>0.1</v>
      </c>
      <c r="B2" s="19">
        <v>45342</v>
      </c>
      <c r="C2" s="10" t="s">
        <v>121</v>
      </c>
    </row>
    <row r="3" spans="1:3" ht="30" x14ac:dyDescent="0.25">
      <c r="A3" s="9">
        <v>0.2</v>
      </c>
      <c r="B3" s="19">
        <v>45344</v>
      </c>
      <c r="C3" s="10" t="s">
        <v>122</v>
      </c>
    </row>
    <row r="4" spans="1:3" ht="135" x14ac:dyDescent="0.25">
      <c r="A4" s="9">
        <v>0.3</v>
      </c>
      <c r="B4" s="19">
        <v>45363</v>
      </c>
      <c r="C4" s="10" t="s">
        <v>79</v>
      </c>
    </row>
    <row r="5" spans="1:3" x14ac:dyDescent="0.25">
      <c r="A5" s="9">
        <v>0.4</v>
      </c>
      <c r="B5" s="19">
        <v>45365</v>
      </c>
      <c r="C5" s="9" t="s">
        <v>80</v>
      </c>
    </row>
    <row r="6" spans="1:3" ht="30" customHeight="1" x14ac:dyDescent="0.25">
      <c r="A6" s="9">
        <v>0.5</v>
      </c>
      <c r="B6" s="19">
        <v>45377</v>
      </c>
      <c r="C6" s="10" t="s">
        <v>67</v>
      </c>
    </row>
    <row r="7" spans="1:3" ht="45" customHeight="1" x14ac:dyDescent="0.25">
      <c r="A7" s="9">
        <v>0.6</v>
      </c>
      <c r="B7" s="19">
        <v>45398</v>
      </c>
      <c r="C7" s="10" t="s">
        <v>81</v>
      </c>
    </row>
    <row r="8" spans="1:3" ht="30" x14ac:dyDescent="0.25">
      <c r="A8" s="9">
        <v>0.7</v>
      </c>
      <c r="B8" s="19">
        <v>45405</v>
      </c>
      <c r="C8" s="10" t="s">
        <v>94</v>
      </c>
    </row>
    <row r="9" spans="1:3" ht="75" x14ac:dyDescent="0.25">
      <c r="A9" s="20">
        <v>1</v>
      </c>
      <c r="B9" s="19">
        <v>45408</v>
      </c>
      <c r="C9" s="10" t="s">
        <v>131</v>
      </c>
    </row>
    <row r="10" spans="1:3" ht="30" x14ac:dyDescent="0.25">
      <c r="A10" s="9">
        <v>1.1000000000000001</v>
      </c>
      <c r="B10" s="19">
        <v>45419</v>
      </c>
      <c r="C10" s="10" t="s">
        <v>141</v>
      </c>
    </row>
    <row r="11" spans="1:3" ht="90" x14ac:dyDescent="0.25">
      <c r="A11" s="9">
        <v>1.2</v>
      </c>
      <c r="B11" s="19">
        <v>45519</v>
      </c>
      <c r="C11" s="10" t="s">
        <v>163</v>
      </c>
    </row>
    <row r="12" spans="1:3" ht="120" x14ac:dyDescent="0.25">
      <c r="A12" s="21">
        <v>1.3</v>
      </c>
      <c r="B12" s="19">
        <v>45551</v>
      </c>
      <c r="C12" s="10" t="s">
        <v>201</v>
      </c>
    </row>
    <row r="13" spans="1:3" ht="60" x14ac:dyDescent="0.25">
      <c r="A13" s="9">
        <v>1.4</v>
      </c>
      <c r="B13" s="19">
        <v>45812</v>
      </c>
      <c r="C13" s="10" t="s">
        <v>204</v>
      </c>
    </row>
    <row r="17" customFormat="1" hidden="1" x14ac:dyDescent="0.25"/>
  </sheetData>
  <sheetProtection algorithmName="SHA-512" hashValue="7k1pWV2TrkVo5wz42rNTU48ilX1akCnbD6MhhQH+QeKK9yNjbVfx/+nclCMvo6CKbABHVfhstIL4Joxyz/tuDQ==" saltValue="3rhn5DCDnZkf6Fi2xSu+Yw==" spinCount="100000" sheet="1"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A4C7-BC6A-4D42-8D4E-7BDE393BE009}">
  <sheetPr>
    <tabColor rgb="FFFFC000"/>
  </sheetPr>
  <dimension ref="A1:A65"/>
  <sheetViews>
    <sheetView tabSelected="1" zoomScaleNormal="100" workbookViewId="0">
      <selection activeCell="A66" sqref="A66:XFD1048576"/>
    </sheetView>
  </sheetViews>
  <sheetFormatPr defaultColWidth="0" defaultRowHeight="15" zeroHeight="1" x14ac:dyDescent="0.25"/>
  <cols>
    <col min="1" max="1" width="183.42578125" customWidth="1"/>
    <col min="2" max="16384" width="8.710937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sheetData>
  <sheetProtection algorithmName="SHA-512" hashValue="DJkP6Krdf1LdlTsvemyuBcikSPqIPjGBPQNNzy49lKU2VO5262mXdx00LY6kphLXBexxqSYI+LH4zSoQMb33+g==" saltValue="tdhyBlXEtBYECwJkL2oCEQ==" spinCount="100000" sheet="1" objects="1" scenarios="1"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8676-694D-4562-9566-9179A4312EA9}">
  <sheetPr>
    <tabColor theme="9" tint="-0.499984740745262"/>
  </sheetPr>
  <dimension ref="A1:H4"/>
  <sheetViews>
    <sheetView zoomScaleNormal="100" workbookViewId="0">
      <pane ySplit="1" topLeftCell="A2" activePane="bottomLeft" state="frozen"/>
      <selection pane="bottomLeft" activeCell="B2" sqref="B2"/>
    </sheetView>
  </sheetViews>
  <sheetFormatPr defaultColWidth="0" defaultRowHeight="15" x14ac:dyDescent="0.25"/>
  <cols>
    <col min="1" max="1" width="11" style="22" bestFit="1" customWidth="1"/>
    <col min="2" max="2" width="42.85546875" style="22" customWidth="1"/>
    <col min="3" max="3" width="10.85546875" style="22" bestFit="1" customWidth="1"/>
    <col min="4" max="4" width="23.28515625" style="6" customWidth="1"/>
    <col min="5" max="5" width="12.28515625" style="6" bestFit="1" customWidth="1"/>
    <col min="6" max="6" width="41.85546875" style="6" bestFit="1" customWidth="1"/>
    <col min="7" max="7" width="54.5703125" style="6" customWidth="1"/>
    <col min="8" max="8" width="0" style="6" hidden="1" customWidth="1"/>
    <col min="9" max="16384" width="8.7109375" style="6" hidden="1"/>
  </cols>
  <sheetData>
    <row r="1" spans="1:7" x14ac:dyDescent="0.25">
      <c r="A1" s="6" t="s">
        <v>3</v>
      </c>
      <c r="B1" s="6" t="s">
        <v>4</v>
      </c>
      <c r="C1" s="6" t="s">
        <v>5</v>
      </c>
      <c r="D1" s="6" t="s">
        <v>6</v>
      </c>
      <c r="E1" s="6" t="s">
        <v>7</v>
      </c>
      <c r="F1" s="6" t="s">
        <v>66</v>
      </c>
      <c r="G1" s="6" t="s">
        <v>8</v>
      </c>
    </row>
    <row r="2" spans="1:7" x14ac:dyDescent="0.25">
      <c r="B2" s="6"/>
      <c r="F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
      </c>
    </row>
    <row r="4" spans="1:7" x14ac:dyDescent="0.25">
      <c r="B4" s="23" t="s">
        <v>182</v>
      </c>
    </row>
  </sheetData>
  <sheetProtection formatCells="0" formatColumns="0" formatRows="0" insertColumns="0" insertRows="0" insertHyperlinks="0" deleteColumns="0" deleteRows="0" sort="0"/>
  <conditionalFormatting sqref="B2">
    <cfRule type="duplicateValues" dxfId="8" priority="62"/>
  </conditionalFormatting>
  <conditionalFormatting sqref="B3:B1048576">
    <cfRule type="duplicateValues" dxfId="7" priority="63"/>
  </conditionalFormatting>
  <conditionalFormatting sqref="E2:E1048576">
    <cfRule type="containsText" dxfId="6" priority="2" operator="containsText" text="Maybe">
      <formula>NOT(ISERROR(SEARCH("Maybe",E2)))</formula>
    </cfRule>
    <cfRule type="containsText" dxfId="5" priority="3" operator="containsText" text="No">
      <formula>NOT(ISERROR(SEARCH("No",E2)))</formula>
    </cfRule>
  </conditionalFormatting>
  <dataValidations xWindow="302" yWindow="461" count="3">
    <dataValidation allowBlank="1" showInputMessage="1" sqref="C1 B1:B1048576 A1" xr:uid="{1D703411-1CC8-4AEF-9FDC-0A986B5CC4DB}"/>
    <dataValidation allowBlank="1" showErrorMessage="1" prompt="&quot;Yes&quot; or blank: Include term_x000a_&quot;No&quot;: Exclude term_x000a_&quot;Maybe&quot;: Include term in alt. version" sqref="F1:F2" xr:uid="{A94D42D9-E7E8-49B8-AEE5-CD2968660A9D}"/>
    <dataValidation type="textLength" operator="greaterThan" allowBlank="1" showInputMessage="1" showErrorMessage="1" sqref="F3:F1048576" xr:uid="{D1FFA793-E003-409F-8ED1-E0F6F6DB549A}">
      <formula1>2</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302" yWindow="461" count="4">
        <x14:dataValidation type="list" allowBlank="1" showInputMessage="1" prompt="&quot;Yes&quot;: Enclose in quotes._x000a_&quot;No&quot; or blank: Do not use quotes." xr:uid="{1548BA59-553B-434E-8A0E-9051C9CEFCD8}">
          <x14:formula1>
            <xm:f>'Backend - List Sources'!$C$2:$C$4</xm:f>
          </x14:formula1>
          <xm:sqref>C2:C1048576</xm:sqref>
        </x14:dataValidation>
        <x14:dataValidation type="list" allowBlank="1" showInputMessage="1" showErrorMessage="1" prompt="If left blank, no field code will be applied." xr:uid="{6DE5B434-839B-4A62-8F4C-B4EC78E2FA5F}">
          <x14:formula1>
            <xm:f>'Backend - List Sources'!$B$2:$B$10</xm:f>
          </x14:formula1>
          <xm:sqref>D2:D1048576</xm:sqref>
        </x14:dataValidation>
        <x14:dataValidation type="list" allowBlank="1" showInputMessage="1" showErrorMessage="1" xr:uid="{C5037FE4-A469-40D6-B67E-6EE50912E576}">
          <x14:formula1>
            <xm:f>'Backend - List Sources'!$A$2:$A$6</xm:f>
          </x14:formula1>
          <xm:sqref>A2:A1048576</xm:sqref>
        </x14:dataValidation>
        <x14:dataValidation type="list" allowBlank="1" showInputMessage="1" showErrorMessage="1" prompt="&quot;Yes&quot; or blank: Include term._x000a_&quot;No&quot;: Exclude term._x000a_&quot;Maybe&quot;: Include term in alternate output. " xr:uid="{794C0094-CAAF-450C-893F-46D85D54962E}">
          <x14:formula1>
            <xm:f>'Backend - List Sources'!$E$2:$E$5</xm:f>
          </x14:formula1>
          <xm:sqref>E2:E1048576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3B16-80F2-4D18-A034-CA01DA77E8BA}">
  <sheetPr>
    <tabColor theme="9" tint="-0.499984740745262"/>
  </sheetPr>
  <dimension ref="A1:J2"/>
  <sheetViews>
    <sheetView zoomScaleNormal="100" workbookViewId="0">
      <pane ySplit="1" topLeftCell="A2" activePane="bottomLeft" state="frozen"/>
      <selection activeCell="B1" sqref="B1"/>
      <selection pane="bottomLeft" activeCell="B2" sqref="B2"/>
    </sheetView>
  </sheetViews>
  <sheetFormatPr defaultColWidth="0" defaultRowHeight="15" x14ac:dyDescent="0.25"/>
  <cols>
    <col min="1" max="1" width="11" style="6" bestFit="1" customWidth="1"/>
    <col min="2" max="2" width="42.85546875" style="6" customWidth="1"/>
    <col min="3" max="3" width="19.28515625" style="6" bestFit="1" customWidth="1"/>
    <col min="4" max="4" width="22.7109375" style="6" customWidth="1"/>
    <col min="5" max="5" width="12.7109375" style="6" bestFit="1" customWidth="1"/>
    <col min="6" max="6" width="49.28515625" style="6" bestFit="1" customWidth="1"/>
    <col min="7" max="7" width="54.5703125" style="6" customWidth="1"/>
    <col min="8" max="10" width="0" hidden="1" customWidth="1"/>
    <col min="11" max="16384" width="8.7109375" hidden="1"/>
  </cols>
  <sheetData>
    <row r="1" spans="1:7" x14ac:dyDescent="0.25">
      <c r="A1" s="6" t="s">
        <v>3</v>
      </c>
      <c r="B1" s="6" t="s">
        <v>4</v>
      </c>
      <c r="C1" s="6" t="s">
        <v>13</v>
      </c>
      <c r="D1" s="6" t="s">
        <v>74</v>
      </c>
      <c r="E1" s="6" t="s">
        <v>7</v>
      </c>
      <c r="F1" s="6" t="s">
        <v>14</v>
      </c>
      <c r="G1" s="6" t="s">
        <v>8</v>
      </c>
    </row>
    <row r="2" spans="1:7" x14ac:dyDescent="0.25">
      <c r="A2" s="22"/>
      <c r="B2" s="22"/>
      <c r="C2" s="22"/>
      <c r="D2" s="22"/>
      <c r="F2" s="6" t="str" cm="1">
        <f t="array" ref="F2">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
      </c>
      <c r="G2" s="22"/>
    </row>
  </sheetData>
  <sheetProtection formatCells="0" formatColumns="0" formatRows="0" sort="0"/>
  <phoneticPr fontId="6" type="noConversion"/>
  <conditionalFormatting sqref="D1:D1048576">
    <cfRule type="containsText" dxfId="4" priority="3" operator="containsText" text="No explode">
      <formula>NOT(ISERROR(SEARCH("No explode",D1)))</formula>
    </cfRule>
  </conditionalFormatting>
  <conditionalFormatting sqref="D2">
    <cfRule type="containsText" dxfId="3" priority="1" operator="containsText" text="Pharmacological action">
      <formula>NOT(ISERROR(SEARCH("Pharmacological action",D2)))</formula>
    </cfRule>
    <cfRule type="containsText" dxfId="2" priority="2" operator="containsText" text="Supplementary concept">
      <formula>NOT(ISERROR(SEARCH("Supplementary concept",D2)))</formula>
    </cfRule>
  </conditionalFormatting>
  <conditionalFormatting sqref="E1:E1048576">
    <cfRule type="containsText" dxfId="1" priority="4" operator="containsText" text="Maybe">
      <formula>NOT(ISERROR(SEARCH("Maybe",E1)))</formula>
    </cfRule>
    <cfRule type="containsText" dxfId="0" priority="5" operator="containsText" text="No">
      <formula>NOT(ISERROR(SEARCH("No",E1)))</formula>
    </cfRule>
  </conditionalFormatting>
  <dataValidations xWindow="473" yWindow="272" count="2">
    <dataValidation allowBlank="1" showInputMessage="1" sqref="A1:D1 B2" xr:uid="{CB15CB61-DE58-4593-9D53-8D898BD8166E}"/>
    <dataValidation type="textLength" operator="greaterThan" allowBlank="1" showErrorMessage="1" sqref="F2:F1048576" xr:uid="{4C894BA5-08E7-47EB-B706-927FE31C4ED2}">
      <formula1>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473" yWindow="272" count="4">
        <x14:dataValidation type="list" allowBlank="1" showInputMessage="1" showErrorMessage="1" prompt="&quot;Yes&quot; or blank: Include term._x000a_&quot;No&quot;: Exclude term._x000a_&quot;Maybe&quot;: Include term in alternate output. " xr:uid="{D57B9648-3561-4F3C-9EEC-2E3EABE8B2CD}">
          <x14:formula1>
            <xm:f>'Backend - List Sources'!$E$2:$E$5</xm:f>
          </x14:formula1>
          <xm:sqref>E2:E1048576</xm:sqref>
        </x14:dataValidation>
        <x14:dataValidation type="list" allowBlank="1" showInputMessage="1" xr:uid="{FF6E3A32-9C53-42B9-BC1B-044B02C7AD4C}">
          <x14:formula1>
            <xm:f>'Backend - List Sources'!$A$2:$A$7</xm:f>
          </x14:formula1>
          <xm:sqref>A2:A1048576</xm:sqref>
        </x14:dataValidation>
        <x14:dataValidation type="list" allowBlank="1" showInputMessage="1" showErrorMessage="1" prompt="&quot;Explode&quot; or blank: Explode term, if supported by the selected database._x000a_&quot;No explode&quot;: Do not explode term._x000a__x000a_&quot;Supplementary concept&quot; &amp; &quot;Pharmacological action&quot; are supported only for PubMed and Ovid MEDLINE." xr:uid="{96854A66-C826-4CCF-A3B8-76DB6ABEFE43}">
          <x14:formula1>
            <xm:f>'Backend - List Sources'!$D$2:$D$7</xm:f>
          </x14:formula1>
          <xm:sqref>D2:D1048576</xm:sqref>
        </x14:dataValidation>
        <x14:dataValidation type="list" allowBlank="1" showInputMessage="1" showErrorMessage="1" prompt="Specify the database in which the term is used for indexing. _x000a__x000a_Databases without controlled vocabularies do not appear in this list. " xr:uid="{B90C963F-FF11-4EAB-A65D-BAC6B37093EF}">
          <x14:formula1>
            <xm:f>'Backend - List Sources'!$F$2:$F$100</xm:f>
          </x14:formula1>
          <xm:sqref>C2:C1048576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FA49-73C0-4FCE-AD14-93DC6241D932}">
  <sheetPr>
    <tabColor theme="9" tint="-0.499984740745262"/>
  </sheetPr>
  <dimension ref="A1:XFC26"/>
  <sheetViews>
    <sheetView workbookViewId="0">
      <selection activeCell="A7" sqref="A7"/>
    </sheetView>
  </sheetViews>
  <sheetFormatPr defaultColWidth="0" defaultRowHeight="15" x14ac:dyDescent="0.25"/>
  <cols>
    <col min="1" max="2" width="28.5703125" customWidth="1"/>
    <col min="3" max="4" width="11.85546875" hidden="1"/>
    <col min="5" max="16383" width="8.7109375" hidden="1"/>
    <col min="16384" max="16384" width="28.5703125" hidden="1" customWidth="1"/>
  </cols>
  <sheetData>
    <row r="1" spans="1:2" x14ac:dyDescent="0.25">
      <c r="A1" s="24" t="s">
        <v>168</v>
      </c>
      <c r="B1" s="24"/>
    </row>
    <row r="2" spans="1:2" x14ac:dyDescent="0.25">
      <c r="A2" t="s">
        <v>164</v>
      </c>
      <c r="B2" t="s">
        <v>165</v>
      </c>
    </row>
    <row r="3" spans="1:2" x14ac:dyDescent="0.25">
      <c r="A3" s="13"/>
      <c r="B3" s="13"/>
    </row>
    <row r="4" spans="1:2" x14ac:dyDescent="0.25">
      <c r="A4" s="13"/>
      <c r="B4" s="13"/>
    </row>
    <row r="5" spans="1:2" x14ac:dyDescent="0.25">
      <c r="A5" s="24" t="s">
        <v>189</v>
      </c>
      <c r="B5" s="24"/>
    </row>
    <row r="6" spans="1:2" x14ac:dyDescent="0.25">
      <c r="A6" s="14" t="s">
        <v>190</v>
      </c>
      <c r="B6" s="14" t="s">
        <v>13</v>
      </c>
    </row>
    <row r="26" spans="7:7" x14ac:dyDescent="0.25">
      <c r="G26" s="15"/>
    </row>
  </sheetData>
  <sheetProtection selectLockedCells="1" selectUnlockedCells="1"/>
  <dataConsolidate/>
  <mergeCells count="2">
    <mergeCell ref="A1:B1"/>
    <mergeCell ref="A5:B5"/>
  </mergeCells>
  <dataValidations count="3">
    <dataValidation type="whole" allowBlank="1" showInputMessage="1" showErrorMessage="1" prompt="Input latest publication year of interest here to include it as part of output search strategies. _x000a__x000a_For databases that do not support this functionality, this value will be ignored. " sqref="B3" xr:uid="{D1AB0906-3BAA-4193-9483-17FBA1475201}">
      <formula1>1000</formula1>
      <formula2>9999</formula2>
    </dataValidation>
    <dataValidation allowBlank="1" showInputMessage="1" showErrorMessage="1" prompt="Enter any additional search filters (e.g. preexisting hedges) here. " sqref="A7:A1048576" xr:uid="{8A571770-5835-440C-B58C-17CA56CFD340}"/>
    <dataValidation type="whole" allowBlank="1" showInputMessage="1" showErrorMessage="1" prompt="Input earliest publication year of interest here to include it as part of output search strategies. _x000a__x000a_For databases that do not support this functionality, this value will be ignored. " sqref="A3" xr:uid="{B23A03FD-03C0-4392-A1FE-7469169EAB85}">
      <formula1>1000</formula1>
      <formula2>9999</formula2>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Select the database to the output of which the filter at left will be added. " xr:uid="{3BC87DDD-6348-4B0B-8312-35C73ECD07CA}">
          <x14:formula1>
            <xm:f>'Backend - Syntax Table'!$A$2:$A$96</xm:f>
          </x14:formula1>
          <xm:sqref>B7:B1048576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AFBA-8C49-48D4-8409-BA20DD6002ED}">
  <sheetPr>
    <tabColor theme="3" tint="9.9978637043366805E-2"/>
  </sheetPr>
  <dimension ref="A1:XFC2"/>
  <sheetViews>
    <sheetView zoomScaleNormal="100" workbookViewId="0">
      <pane xSplit="1" ySplit="1" topLeftCell="B2" activePane="bottomRight" state="frozen"/>
      <selection pane="topRight" activeCell="B1" sqref="B1"/>
      <selection pane="bottomLeft" activeCell="A2" sqref="A2"/>
      <selection pane="bottomRight" activeCell="A3" sqref="A3"/>
    </sheetView>
  </sheetViews>
  <sheetFormatPr defaultColWidth="0" defaultRowHeight="15" x14ac:dyDescent="0.25"/>
  <cols>
    <col min="1" max="1" width="20.28515625" style="6" bestFit="1" customWidth="1"/>
    <col min="2" max="2" width="13.7109375" customWidth="1"/>
    <col min="3" max="3" width="14.28515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x14ac:dyDescent="0.25">
      <c r="A2" s="11"/>
      <c r="B2" s="9" t="str" cm="1">
        <f t="array" ref="B2"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C2" s="9" t="str" cm="1">
        <f t="array" ref="C2"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D2" s="9" t="str" cm="1">
        <f t="array" ref="D2"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E2" s="9" t="str" cm="1">
        <f t="array" ref="E2"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F2" s="9" t="str" cm="1">
        <f t="array" aca="1" ref="F2"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CustomFilterTable[[Database]:[Database]]), CustomFilterTable[[Text]:[Text]], "")), "")</f>
        <v/>
      </c>
      <c r="G2" s="10" t="str">
        <f ca="1" xml:space="preserve"> SUBSTITUTE(IF((COUNTBLANK(SearchTable[[#This Row],[Concept 1]:[Concept 4]]) &lt; 3) * NOT(ISBLANK(SearchTable[[#This Row],[Database]])), "(?)", "?"),"?", _xlfn.TEXTJOIN(" AND ", TRUE, SearchTable[[#This Row],[Concept 1]:[Concept 4]], SearchTable[[#This Row],[Filter(s)]]))</f>
        <v/>
      </c>
    </row>
  </sheetData>
  <phoneticPr fontId="6" type="noConversion"/>
  <dataValidations count="1">
    <dataValidation operator="greaterThanOrEqual" showInputMessage="1" showErrorMessage="1" sqref="B2:G1048576" xr:uid="{073E1657-C126-4472-9CCF-94610A6275DB}"/>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3706FBF-50E4-4015-9BA0-A57950E11C89}">
          <x14:formula1>
            <xm:f>'Backend - Syntax Table'!$A$2:$A$96</xm:f>
          </x14:formula1>
          <xm:sqref>A2:A1048576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B296-C9AF-4A6A-ABE3-59F9C1935061}">
  <sheetPr>
    <tabColor theme="3" tint="9.9978637043366805E-2"/>
  </sheetPr>
  <dimension ref="A1:XFC2"/>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0" defaultRowHeight="15" x14ac:dyDescent="0.25"/>
  <cols>
    <col min="1" max="1" width="20.28515625" style="6" bestFit="1" customWidth="1"/>
    <col min="2" max="2" width="13.7109375" customWidth="1"/>
    <col min="3" max="3" width="14.140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x14ac:dyDescent="0.25">
      <c r="A2" s="11"/>
      <c r="B2" s="9" t="str" cm="1">
        <f t="array" ref="B2"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C2" s="9" t="str" cm="1">
        <f t="array" ref="C2"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D2" s="9" t="str" cm="1">
        <f t="array" ref="D2"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E2" s="9" t="str" cm="1">
        <f t="array" ref="E2"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F2" s="9" t="str" cm="1">
        <f t="array" aca="1" ref="F2"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
      </c>
      <c r="G2" s="10" t="str">
        <f ca="1" xml:space="preserve"> SUBSTITUTE(IF((COUNTBLANK(SearchTableAlt[[#This Row],[Concept 1]:[Concept 4]]) &lt; 3) * NOT(ISBLANK(SearchTableAlt[[#This Row],[Database]])), "(?)", "?"),"?", _xlfn.TEXTJOIN(" AND ", TRUE, SearchTableAlt[[#This Row],[Concept 1]:[Concept 4]], SearchTableAlt[[#This Row],[Filter(s)]]))</f>
        <v/>
      </c>
    </row>
  </sheetData>
  <phoneticPr fontId="6" type="noConversion"/>
  <dataValidations count="2">
    <dataValidation operator="greaterThanOrEqual" allowBlank="1" showInputMessage="1" showErrorMessage="1" sqref="F3:F1048576 G2:G1048576 B2:E1048576" xr:uid="{0210A110-981F-42C1-B00A-3D0606C503A6}"/>
    <dataValidation operator="greaterThanOrEqual" showInputMessage="1" showErrorMessage="1" sqref="F2" xr:uid="{0F6E7EEF-AE05-4AAE-803D-029C0E9FF9BF}"/>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B7BF45C-4675-4071-BC64-E6FD6C9E7C66}">
          <x14:formula1>
            <xm:f>'Backend - Syntax Table'!$A$2:$A$96</xm:f>
          </x14:formula1>
          <xm:sqref>A2:A1048576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D61B-3081-42E0-A1DF-A7CEF079D25C}">
  <sheetPr>
    <tabColor rgb="FFC00000"/>
  </sheetPr>
  <dimension ref="A1:R15"/>
  <sheetViews>
    <sheetView zoomScale="94" zoomScaleNormal="100" workbookViewId="0">
      <pane xSplit="1" ySplit="1" topLeftCell="B2" activePane="bottomRight" state="frozen"/>
      <selection pane="topRight" activeCell="B1" sqref="B1"/>
      <selection pane="bottomLeft" activeCell="A2" sqref="A2"/>
      <selection pane="bottomRight" activeCell="E5" sqref="E5"/>
    </sheetView>
  </sheetViews>
  <sheetFormatPr defaultColWidth="8.7109375" defaultRowHeight="15" x14ac:dyDescent="0.25"/>
  <cols>
    <col min="1" max="1" width="35" style="1" bestFit="1" customWidth="1"/>
    <col min="2" max="2" width="13.140625" style="1" bestFit="1" customWidth="1"/>
    <col min="3" max="3" width="16.85546875" style="1" bestFit="1" customWidth="1"/>
    <col min="4" max="4" width="14.140625" style="1" bestFit="1" customWidth="1"/>
    <col min="5" max="5" width="33.85546875" style="1" bestFit="1" customWidth="1"/>
    <col min="6" max="6" width="39.85546875" style="1" bestFit="1" customWidth="1"/>
    <col min="7" max="7" width="19.42578125" style="1" bestFit="1" customWidth="1"/>
    <col min="8" max="8" width="18.140625" style="1" customWidth="1"/>
    <col min="9" max="9" width="19.42578125" style="1" bestFit="1" customWidth="1"/>
    <col min="10" max="10" width="24.42578125" style="1" bestFit="1" customWidth="1"/>
    <col min="11" max="11" width="34" style="1" bestFit="1" customWidth="1"/>
    <col min="12" max="12" width="42.42578125" style="1" bestFit="1" customWidth="1"/>
    <col min="13" max="13" width="35.7109375" style="1" bestFit="1" customWidth="1"/>
    <col min="14" max="14" width="43" style="1" bestFit="1" customWidth="1"/>
    <col min="15" max="15" width="44.7109375" style="1" bestFit="1" customWidth="1"/>
    <col min="16" max="16" width="44.7109375" style="1" customWidth="1"/>
    <col min="17" max="17" width="30" style="1" bestFit="1" customWidth="1"/>
    <col min="18" max="18" width="30" style="1" customWidth="1"/>
    <col min="19" max="16384" width="8.7109375" style="1"/>
  </cols>
  <sheetData>
    <row r="1" spans="1:18" x14ac:dyDescent="0.25">
      <c r="A1" s="2" t="s">
        <v>13</v>
      </c>
      <c r="B1" s="2" t="s">
        <v>21</v>
      </c>
      <c r="C1" s="2" t="s">
        <v>22</v>
      </c>
      <c r="D1" s="2" t="s">
        <v>23</v>
      </c>
      <c r="E1" s="2" t="s">
        <v>9</v>
      </c>
      <c r="F1" s="2" t="s">
        <v>24</v>
      </c>
      <c r="G1" s="2" t="s">
        <v>25</v>
      </c>
      <c r="H1" s="4" t="s">
        <v>95</v>
      </c>
      <c r="I1" s="4" t="s">
        <v>98</v>
      </c>
      <c r="J1" s="5" t="s">
        <v>150</v>
      </c>
      <c r="K1" s="5" t="s">
        <v>158</v>
      </c>
      <c r="L1" s="2" t="s">
        <v>26</v>
      </c>
      <c r="M1" s="2" t="s">
        <v>27</v>
      </c>
      <c r="N1" s="3" t="s">
        <v>77</v>
      </c>
      <c r="O1" s="4" t="s">
        <v>113</v>
      </c>
      <c r="P1" s="5" t="s">
        <v>184</v>
      </c>
      <c r="Q1" s="5" t="s">
        <v>166</v>
      </c>
      <c r="R1" s="5" t="s">
        <v>167</v>
      </c>
    </row>
    <row r="2" spans="1:18" x14ac:dyDescent="0.25">
      <c r="A2" t="s">
        <v>132</v>
      </c>
      <c r="B2" t="s">
        <v>28</v>
      </c>
      <c r="C2" t="s">
        <v>133</v>
      </c>
      <c r="D2" t="s">
        <v>134</v>
      </c>
      <c r="E2" t="s">
        <v>135</v>
      </c>
      <c r="F2" t="s">
        <v>136</v>
      </c>
      <c r="G2" t="s">
        <v>137</v>
      </c>
      <c r="H2" t="s">
        <v>138</v>
      </c>
      <c r="I2" t="s">
        <v>139</v>
      </c>
      <c r="J2" t="s">
        <v>96</v>
      </c>
      <c r="K2" t="s">
        <v>140</v>
      </c>
      <c r="L2" t="s">
        <v>140</v>
      </c>
      <c r="M2" t="s">
        <v>140</v>
      </c>
      <c r="N2" t="s">
        <v>85</v>
      </c>
      <c r="O2" t="s">
        <v>85</v>
      </c>
      <c r="P2" s="12" t="b">
        <v>0</v>
      </c>
      <c r="Q2" t="s">
        <v>96</v>
      </c>
      <c r="R2" t="s">
        <v>96</v>
      </c>
    </row>
    <row r="3" spans="1:18" x14ac:dyDescent="0.25">
      <c r="A3" t="s">
        <v>17</v>
      </c>
      <c r="B3" t="s">
        <v>28</v>
      </c>
      <c r="C3" t="s">
        <v>57</v>
      </c>
      <c r="D3" t="s">
        <v>58</v>
      </c>
      <c r="E3" t="s">
        <v>59</v>
      </c>
      <c r="F3" t="s">
        <v>60</v>
      </c>
      <c r="G3" t="s">
        <v>61</v>
      </c>
      <c r="H3" t="s">
        <v>106</v>
      </c>
      <c r="I3" t="s">
        <v>96</v>
      </c>
      <c r="J3" t="s">
        <v>96</v>
      </c>
      <c r="K3" t="s">
        <v>89</v>
      </c>
      <c r="L3" t="s">
        <v>89</v>
      </c>
      <c r="M3" t="s">
        <v>90</v>
      </c>
      <c r="N3" t="s">
        <v>85</v>
      </c>
      <c r="O3" t="s">
        <v>85</v>
      </c>
      <c r="P3" s="12" t="b">
        <v>0</v>
      </c>
      <c r="Q3" t="s">
        <v>96</v>
      </c>
      <c r="R3" t="s">
        <v>96</v>
      </c>
    </row>
    <row r="4" spans="1:18" x14ac:dyDescent="0.25">
      <c r="A4" t="s">
        <v>162</v>
      </c>
      <c r="B4" t="s">
        <v>28</v>
      </c>
      <c r="C4" t="s">
        <v>39</v>
      </c>
      <c r="D4" t="s">
        <v>40</v>
      </c>
      <c r="E4" t="s">
        <v>203</v>
      </c>
      <c r="F4" t="s">
        <v>42</v>
      </c>
      <c r="G4" t="s">
        <v>43</v>
      </c>
      <c r="H4" t="s">
        <v>104</v>
      </c>
      <c r="I4" t="s">
        <v>103</v>
      </c>
      <c r="J4" t="s">
        <v>96</v>
      </c>
      <c r="K4" t="s">
        <v>177</v>
      </c>
      <c r="L4" t="s">
        <v>93</v>
      </c>
      <c r="M4" t="s">
        <v>86</v>
      </c>
      <c r="N4" t="s">
        <v>85</v>
      </c>
      <c r="O4" t="s">
        <v>85</v>
      </c>
      <c r="P4" s="12" t="b">
        <v>1</v>
      </c>
      <c r="Q4" t="s">
        <v>172</v>
      </c>
      <c r="R4" t="s">
        <v>173</v>
      </c>
    </row>
    <row r="5" spans="1:18" x14ac:dyDescent="0.25">
      <c r="A5" t="s">
        <v>142</v>
      </c>
      <c r="B5" t="s">
        <v>28</v>
      </c>
      <c r="C5" t="s">
        <v>143</v>
      </c>
      <c r="D5" t="s">
        <v>144</v>
      </c>
      <c r="E5" t="s">
        <v>145</v>
      </c>
      <c r="F5" t="s">
        <v>145</v>
      </c>
      <c r="G5" t="s">
        <v>146</v>
      </c>
      <c r="H5" t="s">
        <v>147</v>
      </c>
      <c r="I5" t="s">
        <v>148</v>
      </c>
      <c r="J5" t="s">
        <v>96</v>
      </c>
      <c r="K5" t="s">
        <v>149</v>
      </c>
      <c r="L5" t="s">
        <v>149</v>
      </c>
      <c r="M5" t="s">
        <v>149</v>
      </c>
      <c r="N5" t="s">
        <v>85</v>
      </c>
      <c r="O5" t="s">
        <v>85</v>
      </c>
      <c r="P5" s="12" t="b">
        <v>1</v>
      </c>
      <c r="Q5" t="s">
        <v>185</v>
      </c>
      <c r="R5" t="s">
        <v>185</v>
      </c>
    </row>
    <row r="6" spans="1:18" x14ac:dyDescent="0.25">
      <c r="A6" t="s">
        <v>199</v>
      </c>
      <c r="B6" t="s">
        <v>28</v>
      </c>
      <c r="C6" t="s">
        <v>39</v>
      </c>
      <c r="D6" t="s">
        <v>40</v>
      </c>
      <c r="E6" t="s">
        <v>41</v>
      </c>
      <c r="F6" t="s">
        <v>42</v>
      </c>
      <c r="G6" t="s">
        <v>43</v>
      </c>
      <c r="H6" t="s">
        <v>104</v>
      </c>
      <c r="I6" t="s">
        <v>103</v>
      </c>
      <c r="J6" t="s">
        <v>96</v>
      </c>
      <c r="K6" t="s">
        <v>86</v>
      </c>
      <c r="L6" t="s">
        <v>86</v>
      </c>
      <c r="M6" t="s">
        <v>86</v>
      </c>
      <c r="N6" t="s">
        <v>85</v>
      </c>
      <c r="O6" t="s">
        <v>85</v>
      </c>
      <c r="P6" s="12" t="b">
        <v>1</v>
      </c>
      <c r="Q6" t="s">
        <v>172</v>
      </c>
      <c r="R6" t="s">
        <v>173</v>
      </c>
    </row>
    <row r="7" spans="1:18" x14ac:dyDescent="0.25">
      <c r="A7" t="s">
        <v>16</v>
      </c>
      <c r="B7" s="7" t="s">
        <v>34</v>
      </c>
      <c r="C7" t="s">
        <v>35</v>
      </c>
      <c r="D7" t="s">
        <v>36</v>
      </c>
      <c r="E7" t="s">
        <v>37</v>
      </c>
      <c r="F7" t="s">
        <v>160</v>
      </c>
      <c r="G7" t="s">
        <v>38</v>
      </c>
      <c r="H7" t="s">
        <v>106</v>
      </c>
      <c r="I7" t="s">
        <v>105</v>
      </c>
      <c r="J7" t="s">
        <v>96</v>
      </c>
      <c r="K7" s="7" t="s">
        <v>100</v>
      </c>
      <c r="L7" s="7" t="s">
        <v>100</v>
      </c>
      <c r="M7" s="7" t="s">
        <v>101</v>
      </c>
      <c r="N7" s="7" t="s">
        <v>102</v>
      </c>
      <c r="O7" s="7" t="s">
        <v>102</v>
      </c>
      <c r="P7" s="12" t="b">
        <v>1</v>
      </c>
      <c r="Q7" t="s">
        <v>170</v>
      </c>
      <c r="R7" t="s">
        <v>171</v>
      </c>
    </row>
    <row r="8" spans="1:18" x14ac:dyDescent="0.25">
      <c r="A8" t="s">
        <v>161</v>
      </c>
      <c r="B8" t="s">
        <v>28</v>
      </c>
      <c r="C8" t="s">
        <v>96</v>
      </c>
      <c r="D8" t="s">
        <v>96</v>
      </c>
      <c r="E8" t="s">
        <v>96</v>
      </c>
      <c r="F8" t="s">
        <v>96</v>
      </c>
      <c r="G8" t="s">
        <v>96</v>
      </c>
      <c r="H8" t="s">
        <v>96</v>
      </c>
      <c r="I8" t="s">
        <v>96</v>
      </c>
      <c r="J8" t="s">
        <v>96</v>
      </c>
      <c r="K8" t="s">
        <v>85</v>
      </c>
      <c r="L8" t="s">
        <v>85</v>
      </c>
      <c r="M8" t="s">
        <v>85</v>
      </c>
      <c r="N8" t="s">
        <v>85</v>
      </c>
      <c r="O8" t="s">
        <v>85</v>
      </c>
      <c r="P8" s="12" t="b">
        <v>0</v>
      </c>
      <c r="Q8" t="s">
        <v>96</v>
      </c>
      <c r="R8" t="s">
        <v>96</v>
      </c>
    </row>
    <row r="9" spans="1:18" x14ac:dyDescent="0.25">
      <c r="A9" t="s">
        <v>19</v>
      </c>
      <c r="B9" t="s">
        <v>28</v>
      </c>
      <c r="C9" t="s">
        <v>48</v>
      </c>
      <c r="D9" t="s">
        <v>49</v>
      </c>
      <c r="E9" t="s">
        <v>50</v>
      </c>
      <c r="F9" t="s">
        <v>51</v>
      </c>
      <c r="G9" t="s">
        <v>52</v>
      </c>
      <c r="H9" t="s">
        <v>109</v>
      </c>
      <c r="I9" t="s">
        <v>110</v>
      </c>
      <c r="J9" t="s">
        <v>96</v>
      </c>
      <c r="K9" t="s">
        <v>87</v>
      </c>
      <c r="L9" t="s">
        <v>87</v>
      </c>
      <c r="M9" t="s">
        <v>87</v>
      </c>
      <c r="N9" t="s">
        <v>85</v>
      </c>
      <c r="O9" t="s">
        <v>85</v>
      </c>
      <c r="P9" s="12" t="b">
        <v>0</v>
      </c>
      <c r="Q9" t="s">
        <v>183</v>
      </c>
      <c r="R9" t="s">
        <v>96</v>
      </c>
    </row>
    <row r="10" spans="1:18" x14ac:dyDescent="0.25">
      <c r="A10" t="s">
        <v>191</v>
      </c>
      <c r="B10" t="s">
        <v>28</v>
      </c>
      <c r="C10" t="s">
        <v>192</v>
      </c>
      <c r="D10" t="s">
        <v>193</v>
      </c>
      <c r="E10" t="s">
        <v>194</v>
      </c>
      <c r="F10" t="s">
        <v>195</v>
      </c>
      <c r="G10" t="s">
        <v>196</v>
      </c>
      <c r="H10" t="s">
        <v>197</v>
      </c>
      <c r="I10" t="s">
        <v>96</v>
      </c>
      <c r="J10" t="s">
        <v>96</v>
      </c>
      <c r="K10" t="s">
        <v>85</v>
      </c>
      <c r="L10" t="s">
        <v>85</v>
      </c>
      <c r="M10" t="s">
        <v>85</v>
      </c>
      <c r="N10" t="s">
        <v>85</v>
      </c>
      <c r="O10" t="s">
        <v>85</v>
      </c>
      <c r="P10" s="12" t="b">
        <v>0</v>
      </c>
      <c r="Q10" t="s">
        <v>96</v>
      </c>
      <c r="R10" t="s">
        <v>96</v>
      </c>
    </row>
    <row r="11" spans="1:18" x14ac:dyDescent="0.25">
      <c r="A11" t="s">
        <v>68</v>
      </c>
      <c r="B11" t="s">
        <v>28</v>
      </c>
      <c r="C11" t="s">
        <v>69</v>
      </c>
      <c r="D11" t="s">
        <v>70</v>
      </c>
      <c r="E11" t="s">
        <v>71</v>
      </c>
      <c r="F11" t="s">
        <v>72</v>
      </c>
      <c r="G11" t="s">
        <v>73</v>
      </c>
      <c r="H11" t="s">
        <v>111</v>
      </c>
      <c r="I11" t="s">
        <v>112</v>
      </c>
      <c r="J11" t="s">
        <v>153</v>
      </c>
      <c r="K11" t="s">
        <v>157</v>
      </c>
      <c r="L11" t="s">
        <v>91</v>
      </c>
      <c r="M11" t="s">
        <v>92</v>
      </c>
      <c r="N11" t="s">
        <v>115</v>
      </c>
      <c r="O11" t="s">
        <v>92</v>
      </c>
      <c r="P11" s="12" t="b">
        <v>0</v>
      </c>
      <c r="Q11" t="s">
        <v>96</v>
      </c>
      <c r="R11" t="s">
        <v>96</v>
      </c>
    </row>
    <row r="12" spans="1:18" x14ac:dyDescent="0.25">
      <c r="A12" t="s">
        <v>200</v>
      </c>
      <c r="B12" t="s">
        <v>28</v>
      </c>
      <c r="C12" t="s">
        <v>44</v>
      </c>
      <c r="D12" t="s">
        <v>53</v>
      </c>
      <c r="E12" t="s">
        <v>54</v>
      </c>
      <c r="F12" t="s">
        <v>55</v>
      </c>
      <c r="G12" t="s">
        <v>56</v>
      </c>
      <c r="H12" t="s">
        <v>178</v>
      </c>
      <c r="I12" t="s">
        <v>179</v>
      </c>
      <c r="J12" t="s">
        <v>96</v>
      </c>
      <c r="K12" t="s">
        <v>88</v>
      </c>
      <c r="L12" t="s">
        <v>88</v>
      </c>
      <c r="M12" t="s">
        <v>88</v>
      </c>
      <c r="N12" t="s">
        <v>85</v>
      </c>
      <c r="O12" t="s">
        <v>85</v>
      </c>
      <c r="P12" s="12" t="b">
        <v>1</v>
      </c>
      <c r="Q12" t="s">
        <v>181</v>
      </c>
      <c r="R12" t="s">
        <v>180</v>
      </c>
    </row>
    <row r="13" spans="1:18" x14ac:dyDescent="0.25">
      <c r="A13" t="s">
        <v>15</v>
      </c>
      <c r="B13" t="s">
        <v>28</v>
      </c>
      <c r="C13" t="s">
        <v>29</v>
      </c>
      <c r="D13" t="s">
        <v>30</v>
      </c>
      <c r="E13" t="s">
        <v>31</v>
      </c>
      <c r="F13" t="s">
        <v>32</v>
      </c>
      <c r="G13" t="s">
        <v>33</v>
      </c>
      <c r="H13" t="s">
        <v>97</v>
      </c>
      <c r="I13" t="s">
        <v>99</v>
      </c>
      <c r="J13" t="s">
        <v>151</v>
      </c>
      <c r="K13" t="s">
        <v>159</v>
      </c>
      <c r="L13" t="s">
        <v>82</v>
      </c>
      <c r="M13" t="s">
        <v>83</v>
      </c>
      <c r="N13" t="s">
        <v>84</v>
      </c>
      <c r="O13" t="s">
        <v>114</v>
      </c>
      <c r="P13" s="12" t="b">
        <v>1</v>
      </c>
      <c r="Q13" t="s">
        <v>187</v>
      </c>
      <c r="R13" t="s">
        <v>188</v>
      </c>
    </row>
    <row r="14" spans="1:18" x14ac:dyDescent="0.25">
      <c r="A14" t="s">
        <v>18</v>
      </c>
      <c r="B14" t="s">
        <v>28</v>
      </c>
      <c r="C14" t="s">
        <v>44</v>
      </c>
      <c r="D14" t="s">
        <v>45</v>
      </c>
      <c r="E14" t="s">
        <v>46</v>
      </c>
      <c r="F14" t="s">
        <v>202</v>
      </c>
      <c r="G14" t="s">
        <v>47</v>
      </c>
      <c r="H14" t="s">
        <v>108</v>
      </c>
      <c r="I14" t="s">
        <v>107</v>
      </c>
      <c r="J14" t="s">
        <v>152</v>
      </c>
      <c r="K14" t="s">
        <v>85</v>
      </c>
      <c r="L14" t="s">
        <v>85</v>
      </c>
      <c r="M14" t="s">
        <v>85</v>
      </c>
      <c r="N14" t="s">
        <v>85</v>
      </c>
      <c r="O14" t="s">
        <v>85</v>
      </c>
      <c r="P14" s="12" t="b">
        <v>1</v>
      </c>
      <c r="Q14" t="s">
        <v>169</v>
      </c>
      <c r="R14" t="s">
        <v>174</v>
      </c>
    </row>
    <row r="15" spans="1:18" x14ac:dyDescent="0.25">
      <c r="A15" t="s">
        <v>123</v>
      </c>
      <c r="B15" t="s">
        <v>28</v>
      </c>
      <c r="C15" t="s">
        <v>124</v>
      </c>
      <c r="D15" t="s">
        <v>126</v>
      </c>
      <c r="E15" t="s">
        <v>128</v>
      </c>
      <c r="F15" t="s">
        <v>125</v>
      </c>
      <c r="G15" t="s">
        <v>129</v>
      </c>
      <c r="H15" t="s">
        <v>127</v>
      </c>
      <c r="I15" t="s">
        <v>130</v>
      </c>
      <c r="J15" t="s">
        <v>154</v>
      </c>
      <c r="K15" t="s">
        <v>85</v>
      </c>
      <c r="L15" t="s">
        <v>85</v>
      </c>
      <c r="M15" t="s">
        <v>85</v>
      </c>
      <c r="N15" t="s">
        <v>85</v>
      </c>
      <c r="O15" t="s">
        <v>85</v>
      </c>
      <c r="P15" s="12" t="b">
        <v>1</v>
      </c>
      <c r="Q15" t="s">
        <v>175</v>
      </c>
      <c r="R15" t="s">
        <v>176</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31AD-6778-4CD7-B8F5-431E9F301E80}">
  <sheetPr>
    <tabColor rgb="FFC00000"/>
  </sheetPr>
  <dimension ref="A1:F11"/>
  <sheetViews>
    <sheetView workbookViewId="0">
      <pane ySplit="1" topLeftCell="A2" activePane="bottomLeft" state="frozen"/>
      <selection pane="bottomLeft" activeCell="F11" sqref="F11"/>
    </sheetView>
  </sheetViews>
  <sheetFormatPr defaultColWidth="8.7109375" defaultRowHeight="15" x14ac:dyDescent="0.25"/>
  <cols>
    <col min="1" max="1" width="57" customWidth="1"/>
    <col min="2" max="2" width="23.28515625" bestFit="1" customWidth="1"/>
    <col min="3" max="3" width="20.140625" customWidth="1"/>
    <col min="4" max="4" width="33.5703125" bestFit="1" customWidth="1"/>
    <col min="5" max="5" width="49" bestFit="1" customWidth="1"/>
    <col min="6" max="6" width="63" bestFit="1" customWidth="1"/>
  </cols>
  <sheetData>
    <row r="1" spans="1:6" s="8" customFormat="1" x14ac:dyDescent="0.25">
      <c r="A1" s="16" t="s">
        <v>62</v>
      </c>
      <c r="B1" s="17" t="s">
        <v>63</v>
      </c>
      <c r="C1" s="17" t="s">
        <v>64</v>
      </c>
      <c r="D1" s="17" t="s">
        <v>155</v>
      </c>
      <c r="E1" s="17" t="s">
        <v>65</v>
      </c>
      <c r="F1" s="18" t="s">
        <v>198</v>
      </c>
    </row>
    <row r="2" spans="1:6" x14ac:dyDescent="0.25">
      <c r="A2">
        <v>1</v>
      </c>
      <c r="B2" t="s">
        <v>22</v>
      </c>
      <c r="C2" t="s">
        <v>10</v>
      </c>
      <c r="D2" t="s">
        <v>156</v>
      </c>
      <c r="E2" t="s">
        <v>10</v>
      </c>
      <c r="F2" t="s">
        <v>132</v>
      </c>
    </row>
    <row r="3" spans="1:6" x14ac:dyDescent="0.25">
      <c r="A3">
        <v>2</v>
      </c>
      <c r="B3" t="s">
        <v>23</v>
      </c>
      <c r="C3" t="s">
        <v>12</v>
      </c>
      <c r="D3" t="s">
        <v>75</v>
      </c>
      <c r="E3" t="s">
        <v>12</v>
      </c>
      <c r="F3" t="s">
        <v>17</v>
      </c>
    </row>
    <row r="4" spans="1:6" x14ac:dyDescent="0.25">
      <c r="A4">
        <v>3</v>
      </c>
      <c r="B4" t="s">
        <v>9</v>
      </c>
      <c r="D4" t="s">
        <v>76</v>
      </c>
      <c r="E4" t="s">
        <v>11</v>
      </c>
      <c r="F4" t="s">
        <v>162</v>
      </c>
    </row>
    <row r="5" spans="1:6" x14ac:dyDescent="0.25">
      <c r="A5">
        <v>4</v>
      </c>
      <c r="B5" t="s">
        <v>24</v>
      </c>
      <c r="D5" t="s">
        <v>78</v>
      </c>
      <c r="F5" t="s">
        <v>142</v>
      </c>
    </row>
    <row r="6" spans="1:6" x14ac:dyDescent="0.25">
      <c r="B6" t="s">
        <v>25</v>
      </c>
      <c r="D6" t="s">
        <v>116</v>
      </c>
      <c r="F6" t="s">
        <v>199</v>
      </c>
    </row>
    <row r="7" spans="1:6" x14ac:dyDescent="0.25">
      <c r="B7" t="s">
        <v>95</v>
      </c>
      <c r="F7" t="s">
        <v>16</v>
      </c>
    </row>
    <row r="8" spans="1:6" x14ac:dyDescent="0.25">
      <c r="B8" t="s">
        <v>98</v>
      </c>
      <c r="F8" t="s">
        <v>19</v>
      </c>
    </row>
    <row r="9" spans="1:6" x14ac:dyDescent="0.25">
      <c r="B9" t="s">
        <v>150</v>
      </c>
      <c r="F9" t="s">
        <v>68</v>
      </c>
    </row>
    <row r="10" spans="1:6" x14ac:dyDescent="0.25">
      <c r="F10" t="s">
        <v>200</v>
      </c>
    </row>
    <row r="11" spans="1:6" x14ac:dyDescent="0.25">
      <c r="F1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Members xmlns="c3881be5-e735-4ed9-aae0-75c1abb84953">
      <UserInfo>
        <DisplayName/>
        <AccountId xsi:nil="true"/>
        <AccountType/>
      </UserInfo>
    </Members>
    <NotebookType xmlns="c3881be5-e735-4ed9-aae0-75c1abb84953" xsi:nil="true"/>
    <Leaders xmlns="c3881be5-e735-4ed9-aae0-75c1abb84953">
      <UserInfo>
        <DisplayName/>
        <AccountId xsi:nil="true"/>
        <AccountType/>
      </UserInfo>
    </Leaders>
    <TaxCatchAll xmlns="6abeea41-ec2d-497e-a2cc-151e47a1fc31" xsi:nil="true"/>
    <FolderType xmlns="c3881be5-e735-4ed9-aae0-75c1abb84953" xsi:nil="true"/>
    <CultureName xmlns="c3881be5-e735-4ed9-aae0-75c1abb84953" xsi:nil="true"/>
    <Owner xmlns="c3881be5-e735-4ed9-aae0-75c1abb84953">
      <UserInfo>
        <DisplayName/>
        <AccountId xsi:nil="true"/>
        <AccountType/>
      </UserInfo>
    </Owner>
    <Distribution_Groups xmlns="c3881be5-e735-4ed9-aae0-75c1abb84953" xsi:nil="true"/>
    <TeamsChannelId xmlns="c3881be5-e735-4ed9-aae0-75c1abb84953" xsi:nil="true"/>
    <IsNotebookLocked xmlns="c3881be5-e735-4ed9-aae0-75c1abb84953" xsi:nil="true"/>
    <Invited_Members xmlns="c3881be5-e735-4ed9-aae0-75c1abb84953" xsi:nil="true"/>
    <Math_Settings xmlns="c3881be5-e735-4ed9-aae0-75c1abb84953" xsi:nil="true"/>
    <Templates xmlns="c3881be5-e735-4ed9-aae0-75c1abb84953" xsi:nil="true"/>
    <Has_Leaders_Only_SectionGroup xmlns="c3881be5-e735-4ed9-aae0-75c1abb84953" xsi:nil="true"/>
    <AppVersion xmlns="c3881be5-e735-4ed9-aae0-75c1abb84953" xsi:nil="true"/>
    <Invited_Leaders xmlns="c3881be5-e735-4ed9-aae0-75c1abb84953" xsi:nil="true"/>
    <DefaultSectionNames xmlns="c3881be5-e735-4ed9-aae0-75c1abb84953" xsi:nil="true"/>
    <Is_Collaboration_Space_Locked xmlns="c3881be5-e735-4ed9-aae0-75c1abb84953" xsi:nil="true"/>
    <Member_Groups xmlns="c3881be5-e735-4ed9-aae0-75c1abb84953">
      <UserInfo>
        <DisplayName/>
        <AccountId xsi:nil="true"/>
        <AccountType/>
      </UserInfo>
    </Member_Groups>
    <Self_Registration_Enabled xmlns="c3881be5-e735-4ed9-aae0-75c1abb84953" xsi:nil="true"/>
    <lcf76f155ced4ddcb4097134ff3c332f xmlns="c3881be5-e735-4ed9-aae0-75c1abb84953">
      <Terms xmlns="http://schemas.microsoft.com/office/infopath/2007/PartnerControls"/>
    </lcf76f155ced4ddcb4097134ff3c332f>
    <LMS_Mappings xmlns="c3881be5-e735-4ed9-aae0-75c1abb84953"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D393768D5272E344AE4E50D9590183B6" ma:contentTypeVersion="37" ma:contentTypeDescription="Create a new document." ma:contentTypeScope="" ma:versionID="dc4c3e5926a9c6c8f58da106fb5c065b">
  <xsd:schema xmlns:xsd="http://www.w3.org/2001/XMLSchema" xmlns:xs="http://www.w3.org/2001/XMLSchema" xmlns:p="http://schemas.microsoft.com/office/2006/metadata/properties" xmlns:ns2="c3881be5-e735-4ed9-aae0-75c1abb84953" xmlns:ns3="6abeea41-ec2d-497e-a2cc-151e47a1fc31" targetNamespace="http://schemas.microsoft.com/office/2006/metadata/properties" ma:root="true" ma:fieldsID="1ed83631405eaa81d86bf113ea70258d" ns2:_="" ns3:_="">
    <xsd:import namespace="c3881be5-e735-4ed9-aae0-75c1abb84953"/>
    <xsd:import namespace="6abeea41-ec2d-497e-a2cc-151e47a1fc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81be5-e735-4ed9-aae0-75c1abb849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tebookType" ma:index="12" nillable="true" ma:displayName="Notebook Type" ma:internalName="NotebookType">
      <xsd:simpleType>
        <xsd:restriction base="dms:Text"/>
      </xsd:simpleType>
    </xsd:element>
    <xsd:element name="FolderType" ma:index="13" nillable="true" ma:displayName="Folder Type" ma:internalName="FolderType">
      <xsd:simpleType>
        <xsd:restriction base="dms:Text"/>
      </xsd:simpleType>
    </xsd:element>
    <xsd:element name="CultureName" ma:index="14" nillable="true" ma:displayName="Culture Name" ma:internalName="CultureName">
      <xsd:simpleType>
        <xsd:restriction base="dms:Text"/>
      </xsd:simpleType>
    </xsd:element>
    <xsd:element name="AppVersion" ma:index="15" nillable="true" ma:displayName="App Version" ma:internalName="AppVersion">
      <xsd:simpleType>
        <xsd:restriction base="dms:Text"/>
      </xsd:simpleType>
    </xsd:element>
    <xsd:element name="TeamsChannelId" ma:index="16" nillable="true" ma:displayName="Teams Channel Id" ma:internalName="TeamsChannelId">
      <xsd:simpleType>
        <xsd:restriction base="dms:Text"/>
      </xsd:simpleType>
    </xsd:element>
    <xsd:element name="Owner" ma:index="17"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8" nillable="true" ma:displayName="Math Settings" ma:internalName="Math_Settings">
      <xsd:simpleType>
        <xsd:restriction base="dms:Text"/>
      </xsd:simpleType>
    </xsd:element>
    <xsd:element name="DefaultSectionNames" ma:index="19" nillable="true" ma:displayName="Default Section Names" ma:internalName="DefaultSectionNames">
      <xsd:simpleType>
        <xsd:restriction base="dms:Note">
          <xsd:maxLength value="255"/>
        </xsd:restriction>
      </xsd:simpleType>
    </xsd:element>
    <xsd:element name="Templates" ma:index="20" nillable="true" ma:displayName="Templates" ma:internalName="Templates">
      <xsd:simpleType>
        <xsd:restriction base="dms:Note">
          <xsd:maxLength value="255"/>
        </xsd:restriction>
      </xsd:simpleType>
    </xsd:element>
    <xsd:element name="Leaders" ma:index="21"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22"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23"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4" nillable="true" ma:displayName="Distribution Groups" ma:internalName="Distribution_Groups">
      <xsd:simpleType>
        <xsd:restriction base="dms:Note">
          <xsd:maxLength value="255"/>
        </xsd:restriction>
      </xsd:simpleType>
    </xsd:element>
    <xsd:element name="LMS_Mappings" ma:index="25" nillable="true" ma:displayName="LMS Mappings" ma:internalName="LMS_Mappings">
      <xsd:simpleType>
        <xsd:restriction base="dms:Note">
          <xsd:maxLength value="255"/>
        </xsd:restriction>
      </xsd:simpleType>
    </xsd:element>
    <xsd:element name="Invited_Leaders" ma:index="26" nillable="true" ma:displayName="Invited Leaders" ma:internalName="Invited_Leaders">
      <xsd:simpleType>
        <xsd:restriction base="dms:Note">
          <xsd:maxLength value="255"/>
        </xsd:restriction>
      </xsd:simpleType>
    </xsd:element>
    <xsd:element name="Invited_Members" ma:index="27" nillable="true" ma:displayName="Invited Members" ma:internalName="Invited_Members">
      <xsd:simpleType>
        <xsd:restriction base="dms:Note">
          <xsd:maxLength value="255"/>
        </xsd:restriction>
      </xsd:simpleType>
    </xsd:element>
    <xsd:element name="Self_Registration_Enabled" ma:index="28" nillable="true" ma:displayName="Self Registration Enabled" ma:internalName="Self_Registration_Enabled">
      <xsd:simpleType>
        <xsd:restriction base="dms:Boolean"/>
      </xsd:simpleType>
    </xsd:element>
    <xsd:element name="Has_Leaders_Only_SectionGroup" ma:index="29" nillable="true" ma:displayName="Has Leaders Only SectionGroup" ma:internalName="Has_Leaders_Only_SectionGroup">
      <xsd:simpleType>
        <xsd:restriction base="dms:Boolean"/>
      </xsd:simpleType>
    </xsd:element>
    <xsd:element name="Is_Collaboration_Space_Locked" ma:index="30" nillable="true" ma:displayName="Is Collaboration Space Locked" ma:internalName="Is_Collaboration_Space_Locked">
      <xsd:simpleType>
        <xsd:restriction base="dms:Boolean"/>
      </xsd:simpleType>
    </xsd:element>
    <xsd:element name="IsNotebookLocked" ma:index="31" nillable="true" ma:displayName="Is Notebook Locked" ma:internalName="IsNotebookLocked">
      <xsd:simpleType>
        <xsd:restriction base="dms:Boolean"/>
      </xsd:simpleType>
    </xsd:element>
    <xsd:element name="MediaServiceAutoTags" ma:index="32" nillable="true" ma:displayName="Tags" ma:internalName="MediaServiceAutoTags"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LengthInSeconds" ma:index="39" nillable="true" ma:displayName="Length (seconds)" ma:internalName="MediaLengthInSeconds" ma:readOnly="true">
      <xsd:simpleType>
        <xsd:restriction base="dms:Unknown"/>
      </xsd:simpleType>
    </xsd:element>
    <xsd:element name="lcf76f155ced4ddcb4097134ff3c332f" ma:index="41"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beea41-ec2d-497e-a2cc-151e47a1fc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42" nillable="true" ma:displayName="Taxonomy Catch All Column" ma:hidden="true" ma:list="{e9359479-32f0-4fed-9062-d50523bb4fd5}" ma:internalName="TaxCatchAll" ma:showField="CatchAllData" ma:web="6abeea41-ec2d-497e-a2cc-151e47a1fc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3E1D39-9D87-436A-A252-03B57308C706}">
  <ds:schemaRefs>
    <ds:schemaRef ds:uri="http://schemas.microsoft.com/office/2006/metadata/properties"/>
    <ds:schemaRef ds:uri="http://www.w3.org/2000/xmlns/"/>
    <ds:schemaRef ds:uri="c3881be5-e735-4ed9-aae0-75c1abb84953"/>
    <ds:schemaRef ds:uri="http://www.w3.org/2001/XMLSchema-instance"/>
    <ds:schemaRef ds:uri="6abeea41-ec2d-497e-a2cc-151e47a1fc31"/>
    <ds:schemaRef ds:uri="http://schemas.microsoft.com/office/infopath/2007/PartnerControls"/>
  </ds:schemaRefs>
</ds:datastoreItem>
</file>

<file path=customXml/itemProps2.xml><?xml version="1.0" encoding="utf-8"?>
<ds:datastoreItem xmlns:ds="http://schemas.openxmlformats.org/officeDocument/2006/customXml" ds:itemID="{87A0CA39-E904-4583-A91F-F924CB061E8E}">
  <ds:schemaRefs>
    <ds:schemaRef ds:uri="http://schemas.microsoft.com/DataMashup"/>
  </ds:schemaRefs>
</ds:datastoreItem>
</file>

<file path=customXml/itemProps3.xml><?xml version="1.0" encoding="utf-8"?>
<ds:datastoreItem xmlns:ds="http://schemas.openxmlformats.org/officeDocument/2006/customXml" ds:itemID="{45C6AC77-86C6-4C66-900D-8C18A0CDF7B8}">
  <ds:schemaRefs>
    <ds:schemaRef ds:uri="http://schemas.microsoft.com/office/2006/metadata/contentType"/>
    <ds:schemaRef ds:uri="http://schemas.microsoft.com/office/2006/metadata/properties/metaAttributes"/>
    <ds:schemaRef ds:uri="http://www.w3.org/2000/xmlns/"/>
    <ds:schemaRef ds:uri="http://www.w3.org/2001/XMLSchema"/>
    <ds:schemaRef ds:uri="c3881be5-e735-4ed9-aae0-75c1abb84953"/>
    <ds:schemaRef ds:uri="6abeea41-ec2d-497e-a2cc-151e47a1fc3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7550C9D-4F88-49BD-B5AE-2110CF504F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Changelog</vt:lpstr>
      <vt:lpstr>User Guide</vt:lpstr>
      <vt:lpstr>Keywords</vt:lpstr>
      <vt:lpstr>Controlled Vocabulary</vt:lpstr>
      <vt:lpstr>Filters</vt:lpstr>
      <vt:lpstr>Searches ("Yes" terms only)</vt:lpstr>
      <vt:lpstr>Searches (with "Maybe" terms)</vt:lpstr>
      <vt:lpstr>Backend - Syntax Table</vt:lpstr>
      <vt:lpstr>Backend - List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Barron, Luke Owen</dc:creator>
  <cp:keywords/>
  <dc:description/>
  <cp:lastModifiedBy>Barron, L</cp:lastModifiedBy>
  <cp:revision/>
  <dcterms:created xsi:type="dcterms:W3CDTF">2024-02-19T15:52:34Z</dcterms:created>
  <dcterms:modified xsi:type="dcterms:W3CDTF">2026-10-06T17:21:35Z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0x010100D393768D5272E344AE4E50D9590183B6</vt:lpwstr>
  </property>
  <property fmtid="{D5CDD505-2E9C-101B-9397-08002B2CF9AE}" pid="3" name="MediaServiceImageTags">
    <vt:lpwstr/>
  </property>
</Properties>
</file>